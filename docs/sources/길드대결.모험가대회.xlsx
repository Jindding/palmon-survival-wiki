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bookViews>
    <workbookView xWindow="360" yWindow="45" windowWidth="28035" windowHeight="12570" activeTab="2"/>
  </bookViews>
  <sheets>
    <sheet name="모험가대회" sheetId="1" r:id="rId1"/>
    <sheet name="8.11" sheetId="3" r:id="rId2"/>
    <sheet name="8월" sheetId="2" r:id="rId3"/>
  </sheets>
  <externalReferences>
    <externalReference r:id="rId4"/>
  </externalReferences>
  <definedNames>
    <definedName name="_xlnm.Print_Area" localSheetId="1">'8.11'!$A$1:$AQ$64</definedName>
    <definedName name="_xlnm.Print_Area" localSheetId="2">'8월'!$A$1:$AQ$64</definedName>
    <definedName name="_xlnm.Print_Area" localSheetId="0">모험가대회!$A:$AQ</definedName>
    <definedName name="R_COM_EXCEL2_CMT" localSheetId="1">#REF!</definedName>
    <definedName name="R_COM_EXCEL2_CMT" localSheetId="2">#REF!</definedName>
    <definedName name="R_COM_EXCEL2_CMT">#REF!</definedName>
    <definedName name="R_COM_EXCEL2_COND" localSheetId="1">#REF!</definedName>
    <definedName name="R_COM_EXCEL2_COND" localSheetId="2">#REF!</definedName>
    <definedName name="R_COM_EXCEL2_COND">#REF!</definedName>
    <definedName name="R_COM_EXCEL2_OBJ75" localSheetId="1">#REF!</definedName>
    <definedName name="R_COM_EXCEL2_OBJ75" localSheetId="2">#REF!</definedName>
    <definedName name="R_COM_EXCEL2_OBJ75">#REF!</definedName>
    <definedName name="R_COM_EXCEL2_TB" localSheetId="1">#REF!</definedName>
    <definedName name="R_COM_EXCEL2_TB" localSheetId="2">#REF!</definedName>
    <definedName name="R_COM_EXCEL2_TB">#REF!</definedName>
    <definedName name="R_COM_EXCEL2_TB_TOT" localSheetId="1">#REF!</definedName>
    <definedName name="R_COM_EXCEL2_TB_TOT" localSheetId="2">#REF!</definedName>
    <definedName name="R_COM_EXCEL2_TB_TOT">#REF!</definedName>
    <definedName name="R_COM_EXCEL2_TIT" localSheetId="1">#REF!</definedName>
    <definedName name="R_COM_EXCEL2_TIT" localSheetId="2">#REF!</definedName>
    <definedName name="R_COM_EXCEL2_TIT">#REF!</definedName>
    <definedName name="결제수단">OFFSET([1]!표4[[#Headers],[열1]],1,0,COUNTA([1]!표4[열1]))</definedName>
    <definedName name="수입">[1]!표2[열1]</definedName>
    <definedName name="수입거래처">OFFSET([1]!표5[[#Headers],[열1]],1,0,COUNTA([1]!표5[열1]))</definedName>
    <definedName name="지출">[1]!표3[열1]</definedName>
    <definedName name="지출거래처">OFFSET([1]!표6[[#Headers],[열1]],1,0,COUNTA([1]!표6[열1]))</definedName>
    <definedName name="코로나지원" localSheetId="1">#REF!</definedName>
    <definedName name="코로나지원" localSheetId="2">#REF!</definedName>
    <definedName name="코로나지원">#REF!</definedName>
  </definedNames>
  <calcPr calcId="152511"/>
</workbook>
</file>

<file path=xl/calcChain.xml><?xml version="1.0" encoding="utf-8"?>
<calcChain xmlns="http://schemas.openxmlformats.org/spreadsheetml/2006/main">
  <c r="R64" i="3" l="1"/>
  <c r="X63" i="3" s="1"/>
  <c r="AD62" i="3" s="1"/>
  <c r="AJ61" i="3" s="1"/>
  <c r="AP60" i="3" s="1"/>
  <c r="L64" i="3"/>
  <c r="F64" i="3"/>
  <c r="X62" i="3"/>
  <c r="AD61" i="3"/>
  <c r="X61" i="3"/>
  <c r="AJ60" i="3"/>
  <c r="AD60" i="3"/>
  <c r="X60" i="3"/>
  <c r="AP59" i="3"/>
  <c r="AP64" i="3" s="1"/>
  <c r="AJ59" i="3"/>
  <c r="AJ64" i="3" s="1"/>
  <c r="AP63" i="3" s="1"/>
  <c r="AD59" i="3"/>
  <c r="AD64" i="3" s="1"/>
  <c r="AJ63" i="3" s="1"/>
  <c r="AP62" i="3" s="1"/>
  <c r="X59" i="3"/>
  <c r="X64" i="3" s="1"/>
  <c r="AD63" i="3" s="1"/>
  <c r="AJ62" i="3" s="1"/>
  <c r="AP61" i="3" s="1"/>
  <c r="AL56" i="3"/>
  <c r="L56" i="3"/>
  <c r="R56" i="3" s="1"/>
  <c r="X56" i="3" s="1"/>
  <c r="AD56" i="3" s="1"/>
  <c r="AJ56" i="3" s="1"/>
  <c r="AP56" i="3" s="1"/>
  <c r="H56" i="3"/>
  <c r="N56" i="3" s="1"/>
  <c r="T56" i="3" s="1"/>
  <c r="Z56" i="3" s="1"/>
  <c r="AP53" i="3"/>
  <c r="AJ53" i="3"/>
  <c r="AD53" i="3"/>
  <c r="X53" i="3"/>
  <c r="R53" i="3"/>
  <c r="L53" i="3"/>
  <c r="F53" i="3"/>
  <c r="AL45" i="3"/>
  <c r="L45" i="3"/>
  <c r="R45" i="3" s="1"/>
  <c r="X45" i="3" s="1"/>
  <c r="AD45" i="3" s="1"/>
  <c r="AJ45" i="3" s="1"/>
  <c r="AP45" i="3" s="1"/>
  <c r="H45" i="3"/>
  <c r="N45" i="3" s="1"/>
  <c r="T45" i="3" s="1"/>
  <c r="Z45" i="3" s="1"/>
  <c r="AP42" i="3"/>
  <c r="AJ42" i="3"/>
  <c r="AD42" i="3"/>
  <c r="X42" i="3"/>
  <c r="R42" i="3"/>
  <c r="L42" i="3"/>
  <c r="F42" i="3"/>
  <c r="L34" i="3"/>
  <c r="R34" i="3" s="1"/>
  <c r="X34" i="3" s="1"/>
  <c r="AD34" i="3" s="1"/>
  <c r="AJ34" i="3" s="1"/>
  <c r="AP34" i="3" s="1"/>
  <c r="R64" i="2" l="1"/>
  <c r="X63" i="2" s="1"/>
  <c r="AD62" i="2" s="1"/>
  <c r="AJ61" i="2" s="1"/>
  <c r="AP60" i="2" s="1"/>
  <c r="L64" i="2"/>
  <c r="F64" i="2"/>
  <c r="X62" i="2"/>
  <c r="AD61" i="2" s="1"/>
  <c r="AJ60" i="2" s="1"/>
  <c r="AP59" i="2" s="1"/>
  <c r="AP64" i="2" s="1"/>
  <c r="X61" i="2"/>
  <c r="AD60" i="2" s="1"/>
  <c r="AJ59" i="2" s="1"/>
  <c r="AJ64" i="2" s="1"/>
  <c r="AP63" i="2" s="1"/>
  <c r="X60" i="2"/>
  <c r="AD59" i="2" s="1"/>
  <c r="AD64" i="2" s="1"/>
  <c r="AJ63" i="2" s="1"/>
  <c r="AP62" i="2" s="1"/>
  <c r="X59" i="2"/>
  <c r="X64" i="2" s="1"/>
  <c r="AD63" i="2" s="1"/>
  <c r="AJ62" i="2" s="1"/>
  <c r="AP61" i="2" s="1"/>
  <c r="AL56" i="2"/>
  <c r="L56" i="2"/>
  <c r="R56" i="2" s="1"/>
  <c r="X56" i="2" s="1"/>
  <c r="AD56" i="2" s="1"/>
  <c r="AJ56" i="2" s="1"/>
  <c r="AP56" i="2" s="1"/>
  <c r="H56" i="2"/>
  <c r="N56" i="2" s="1"/>
  <c r="T56" i="2" s="1"/>
  <c r="Z56" i="2" s="1"/>
  <c r="AP53" i="2"/>
  <c r="AJ53" i="2"/>
  <c r="AD53" i="2"/>
  <c r="X53" i="2"/>
  <c r="R53" i="2"/>
  <c r="L53" i="2"/>
  <c r="F53" i="2"/>
  <c r="AL45" i="2"/>
  <c r="L45" i="2"/>
  <c r="R45" i="2" s="1"/>
  <c r="X45" i="2" s="1"/>
  <c r="AD45" i="2" s="1"/>
  <c r="AJ45" i="2" s="1"/>
  <c r="AP45" i="2" s="1"/>
  <c r="H45" i="2"/>
  <c r="N45" i="2" s="1"/>
  <c r="T45" i="2" s="1"/>
  <c r="Z45" i="2" s="1"/>
  <c r="AP42" i="2"/>
  <c r="AJ42" i="2"/>
  <c r="AD42" i="2"/>
  <c r="X42" i="2"/>
  <c r="R42" i="2"/>
  <c r="L42" i="2"/>
  <c r="F42" i="2"/>
  <c r="L34" i="2"/>
  <c r="R34" i="2" s="1"/>
  <c r="X34" i="2" s="1"/>
  <c r="AD34" i="2" s="1"/>
  <c r="AJ34" i="2" s="1"/>
  <c r="AP34" i="2" s="1"/>
  <c r="AP144" i="1"/>
  <c r="AJ144" i="1"/>
  <c r="AD144" i="1"/>
  <c r="X144" i="1"/>
  <c r="R144" i="1"/>
  <c r="L144" i="1"/>
  <c r="F144" i="1"/>
  <c r="AL136" i="1"/>
  <c r="AD136" i="1"/>
  <c r="AJ136" i="1" s="1"/>
  <c r="AP136" i="1" s="1"/>
  <c r="AC136" i="1"/>
  <c r="AI136" i="1" s="1"/>
  <c r="AO136" i="1" s="1"/>
  <c r="L136" i="1"/>
  <c r="R136" i="1" s="1"/>
  <c r="K136" i="1"/>
  <c r="Q136" i="1" s="1"/>
  <c r="H136" i="1"/>
  <c r="N136" i="1" s="1"/>
  <c r="T136" i="1" s="1"/>
  <c r="Z136" i="1" s="1"/>
  <c r="AP125" i="1"/>
  <c r="AJ125" i="1"/>
  <c r="AD125" i="1"/>
  <c r="X125" i="1"/>
  <c r="R125" i="1"/>
  <c r="L125" i="1"/>
  <c r="F125" i="1"/>
  <c r="AL117" i="1"/>
  <c r="L117" i="1"/>
  <c r="R117" i="1" s="1"/>
  <c r="X117" i="1" s="1"/>
  <c r="AD117" i="1" s="1"/>
  <c r="AJ117" i="1" s="1"/>
  <c r="AP117" i="1" s="1"/>
  <c r="K117" i="1"/>
  <c r="Q117" i="1" s="1"/>
  <c r="W117" i="1" s="1"/>
  <c r="AC117" i="1" s="1"/>
  <c r="AI117" i="1" s="1"/>
  <c r="AO117" i="1" s="1"/>
  <c r="H117" i="1"/>
  <c r="N117" i="1" s="1"/>
  <c r="T117" i="1" s="1"/>
  <c r="Z117" i="1" s="1"/>
  <c r="AP114" i="1"/>
  <c r="AJ114" i="1"/>
  <c r="AD114" i="1"/>
  <c r="X114" i="1"/>
  <c r="R114" i="1"/>
  <c r="L114" i="1"/>
  <c r="F114" i="1"/>
  <c r="AL106" i="1"/>
  <c r="L106" i="1"/>
  <c r="R106" i="1" s="1"/>
  <c r="X106" i="1" s="1"/>
  <c r="AD106" i="1" s="1"/>
  <c r="AJ106" i="1" s="1"/>
  <c r="AP106" i="1" s="1"/>
  <c r="K106" i="1"/>
  <c r="Q106" i="1" s="1"/>
  <c r="W106" i="1" s="1"/>
  <c r="AC106" i="1" s="1"/>
  <c r="AI106" i="1" s="1"/>
  <c r="AO106" i="1" s="1"/>
  <c r="H106" i="1"/>
  <c r="N106" i="1" s="1"/>
  <c r="T106" i="1" s="1"/>
  <c r="Z106" i="1" s="1"/>
  <c r="AP103" i="1"/>
  <c r="AJ103" i="1"/>
  <c r="AD103" i="1"/>
  <c r="X103" i="1"/>
  <c r="R103" i="1"/>
  <c r="L103" i="1"/>
  <c r="F103" i="1"/>
  <c r="AL95" i="1"/>
  <c r="L95" i="1"/>
  <c r="R95" i="1" s="1"/>
  <c r="X95" i="1" s="1"/>
  <c r="AD95" i="1" s="1"/>
  <c r="AJ95" i="1" s="1"/>
  <c r="AP95" i="1" s="1"/>
  <c r="K95" i="1"/>
  <c r="Q95" i="1" s="1"/>
  <c r="W95" i="1" s="1"/>
  <c r="AC95" i="1" s="1"/>
  <c r="AI95" i="1" s="1"/>
  <c r="AO95" i="1" s="1"/>
  <c r="H95" i="1"/>
  <c r="N95" i="1" s="1"/>
  <c r="T95" i="1" s="1"/>
  <c r="Z95" i="1" s="1"/>
  <c r="AP92" i="1"/>
  <c r="AJ92" i="1"/>
  <c r="AD92" i="1"/>
  <c r="X92" i="1"/>
  <c r="R92" i="1"/>
  <c r="L92" i="1"/>
  <c r="F92" i="1"/>
  <c r="AL84" i="1"/>
  <c r="R84" i="1"/>
  <c r="X84" i="1" s="1"/>
  <c r="AD84" i="1" s="1"/>
  <c r="AJ84" i="1" s="1"/>
  <c r="AP84" i="1" s="1"/>
  <c r="Q84" i="1"/>
  <c r="W84" i="1" s="1"/>
  <c r="AC84" i="1" s="1"/>
  <c r="AI84" i="1" s="1"/>
  <c r="AO84" i="1" s="1"/>
  <c r="H84" i="1"/>
  <c r="N84" i="1" s="1"/>
  <c r="T84" i="1" s="1"/>
  <c r="Z84" i="1" s="1"/>
  <c r="R73" i="1"/>
  <c r="L73" i="1"/>
  <c r="F73" i="1"/>
  <c r="X72" i="1"/>
  <c r="AD71" i="1" s="1"/>
  <c r="AJ70" i="1" s="1"/>
  <c r="AP69" i="1" s="1"/>
  <c r="X71" i="1"/>
  <c r="AD70" i="1" s="1"/>
  <c r="AJ69" i="1" s="1"/>
  <c r="AP68" i="1" s="1"/>
  <c r="AP73" i="1" s="1"/>
  <c r="X70" i="1"/>
  <c r="AD69" i="1"/>
  <c r="X69" i="1"/>
  <c r="AJ68" i="1"/>
  <c r="AJ73" i="1" s="1"/>
  <c r="AP72" i="1" s="1"/>
  <c r="AD68" i="1"/>
  <c r="AD73" i="1" s="1"/>
  <c r="AJ72" i="1" s="1"/>
  <c r="AP71" i="1" s="1"/>
  <c r="X68" i="1"/>
  <c r="X73" i="1" s="1"/>
  <c r="AD72" i="1" s="1"/>
  <c r="AJ71" i="1" s="1"/>
  <c r="AP70" i="1" s="1"/>
  <c r="AL65" i="1"/>
  <c r="L65" i="1"/>
  <c r="R65" i="1" s="1"/>
  <c r="X65" i="1" s="1"/>
  <c r="AD65" i="1" s="1"/>
  <c r="AJ65" i="1" s="1"/>
  <c r="AP65" i="1" s="1"/>
  <c r="H65" i="1"/>
  <c r="N65" i="1" s="1"/>
  <c r="T65" i="1" s="1"/>
  <c r="Z65" i="1" s="1"/>
  <c r="AP62" i="1"/>
  <c r="AJ62" i="1"/>
  <c r="AD62" i="1"/>
  <c r="X62" i="1"/>
  <c r="R62" i="1"/>
  <c r="L62" i="1"/>
  <c r="F62" i="1"/>
  <c r="AL54" i="1"/>
  <c r="L54" i="1"/>
  <c r="R54" i="1" s="1"/>
  <c r="X54" i="1" s="1"/>
  <c r="AD54" i="1" s="1"/>
  <c r="AJ54" i="1" s="1"/>
  <c r="AP54" i="1" s="1"/>
  <c r="H54" i="1"/>
  <c r="N54" i="1" s="1"/>
  <c r="T54" i="1" s="1"/>
  <c r="Z54" i="1" s="1"/>
  <c r="AP51" i="1"/>
  <c r="AJ51" i="1"/>
  <c r="AD51" i="1"/>
  <c r="X51" i="1"/>
  <c r="R51" i="1"/>
  <c r="L51" i="1"/>
  <c r="F51" i="1"/>
  <c r="AL43" i="1"/>
  <c r="L43" i="1"/>
  <c r="R43" i="1" s="1"/>
  <c r="X43" i="1" s="1"/>
  <c r="AD43" i="1" s="1"/>
  <c r="AJ43" i="1" s="1"/>
  <c r="AP43" i="1" s="1"/>
  <c r="H43" i="1"/>
  <c r="N43" i="1" s="1"/>
  <c r="T43" i="1" s="1"/>
  <c r="Z43" i="1" s="1"/>
  <c r="AL32" i="1"/>
  <c r="H32" i="1"/>
  <c r="N32" i="1" s="1"/>
  <c r="T32" i="1" s="1"/>
</calcChain>
</file>

<file path=xl/sharedStrings.xml><?xml version="1.0" encoding="utf-8"?>
<sst xmlns="http://schemas.openxmlformats.org/spreadsheetml/2006/main" count="2642" uniqueCount="145">
  <si>
    <t>8월</t>
    <phoneticPr fontId="18" type="noConversion"/>
  </si>
  <si>
    <t>첩보 특훈</t>
    <phoneticPr fontId="18" type="noConversion"/>
  </si>
  <si>
    <t>(월)</t>
    <phoneticPr fontId="18" type="noConversion"/>
  </si>
  <si>
    <t>캠프 건설</t>
    <phoneticPr fontId="18" type="noConversion"/>
  </si>
  <si>
    <t>(화)</t>
    <phoneticPr fontId="18" type="noConversion"/>
  </si>
  <si>
    <t>기술 연구</t>
    <phoneticPr fontId="18" type="noConversion"/>
  </si>
  <si>
    <t>(수)</t>
    <phoneticPr fontId="18" type="noConversion"/>
  </si>
  <si>
    <t>팰몬 육성</t>
    <phoneticPr fontId="18" type="noConversion"/>
  </si>
  <si>
    <t>(목)</t>
    <phoneticPr fontId="18" type="noConversion"/>
  </si>
  <si>
    <t>전투 준비</t>
    <phoneticPr fontId="18" type="noConversion"/>
  </si>
  <si>
    <t>(금)</t>
    <phoneticPr fontId="18" type="noConversion"/>
  </si>
  <si>
    <t>적군 처치</t>
    <phoneticPr fontId="18" type="noConversion"/>
  </si>
  <si>
    <t>(토)</t>
    <phoneticPr fontId="18" type="noConversion"/>
  </si>
  <si>
    <t>길드대결-없음</t>
    <phoneticPr fontId="18" type="noConversion"/>
  </si>
  <si>
    <t>(일)</t>
    <phoneticPr fontId="18" type="noConversion"/>
  </si>
  <si>
    <t>일차</t>
    <phoneticPr fontId="18" type="noConversion"/>
  </si>
  <si>
    <t>대륙시간/한국시간</t>
  </si>
  <si>
    <t>모험가</t>
  </si>
  <si>
    <t>점심
/오후</t>
  </si>
  <si>
    <t>~</t>
  </si>
  <si>
    <t>이미고훈련</t>
  </si>
  <si>
    <t>기술연구</t>
  </si>
  <si>
    <t>AP소모</t>
  </si>
  <si>
    <t>AP소모</t>
    <phoneticPr fontId="18" type="noConversion"/>
  </si>
  <si>
    <t>펠몬강화</t>
  </si>
  <si>
    <t>건물레벨업</t>
  </si>
  <si>
    <t>오후
/저녁</t>
  </si>
  <si>
    <t>펠몬강화</t>
    <phoneticPr fontId="18" type="noConversion"/>
  </si>
  <si>
    <t>저녁
/밤</t>
  </si>
  <si>
    <t>건물레벨업</t>
    <phoneticPr fontId="18" type="noConversion"/>
  </si>
  <si>
    <t>밤/새벽</t>
    <phoneticPr fontId="18" type="noConversion"/>
  </si>
  <si>
    <t>새벽/아침</t>
  </si>
  <si>
    <t>기술연구</t>
    <phoneticPr fontId="18" type="noConversion"/>
  </si>
  <si>
    <t>오전</t>
  </si>
  <si>
    <t>첩보 특훈</t>
    <phoneticPr fontId="18" type="noConversion"/>
  </si>
  <si>
    <t>(월)</t>
    <phoneticPr fontId="18" type="noConversion"/>
  </si>
  <si>
    <t>캠프 건설</t>
    <phoneticPr fontId="18" type="noConversion"/>
  </si>
  <si>
    <t>(화)</t>
    <phoneticPr fontId="18" type="noConversion"/>
  </si>
  <si>
    <t>기술 연구</t>
    <phoneticPr fontId="18" type="noConversion"/>
  </si>
  <si>
    <t>(수)</t>
    <phoneticPr fontId="18" type="noConversion"/>
  </si>
  <si>
    <t>팰몬 육성</t>
    <phoneticPr fontId="18" type="noConversion"/>
  </si>
  <si>
    <t>(목)</t>
    <phoneticPr fontId="18" type="noConversion"/>
  </si>
  <si>
    <t>전투 준비</t>
    <phoneticPr fontId="18" type="noConversion"/>
  </si>
  <si>
    <t>(금)</t>
    <phoneticPr fontId="18" type="noConversion"/>
  </si>
  <si>
    <t>적군 처치</t>
    <phoneticPr fontId="18" type="noConversion"/>
  </si>
  <si>
    <t>(토)</t>
    <phoneticPr fontId="18" type="noConversion"/>
  </si>
  <si>
    <t>길드대결-없음</t>
    <phoneticPr fontId="18" type="noConversion"/>
  </si>
  <si>
    <t>(일)</t>
    <phoneticPr fontId="18" type="noConversion"/>
  </si>
  <si>
    <t>일차</t>
    <phoneticPr fontId="18" type="noConversion"/>
  </si>
  <si>
    <t>8월</t>
    <phoneticPr fontId="18" type="noConversion"/>
  </si>
  <si>
    <t>일차</t>
    <phoneticPr fontId="18" type="noConversion"/>
  </si>
  <si>
    <t>8월</t>
    <phoneticPr fontId="18" type="noConversion"/>
  </si>
  <si>
    <t>9월</t>
    <phoneticPr fontId="18" type="noConversion"/>
  </si>
  <si>
    <t>일차</t>
    <phoneticPr fontId="18" type="noConversion"/>
  </si>
  <si>
    <t>10월</t>
    <phoneticPr fontId="18" type="noConversion"/>
  </si>
  <si>
    <t>1 AP소모</t>
    <phoneticPr fontId="18" type="noConversion"/>
  </si>
  <si>
    <t>첩보퀘스트 1개</t>
    <phoneticPr fontId="18" type="noConversion"/>
  </si>
  <si>
    <t>팰몬 경험치 500 소모</t>
    <phoneticPr fontId="18" type="noConversion"/>
  </si>
  <si>
    <t>탈것식량 100개 소모</t>
    <phoneticPr fontId="18" type="noConversion"/>
  </si>
  <si>
    <t>황금편자 1개 소모</t>
    <phoneticPr fontId="18" type="noConversion"/>
  </si>
  <si>
    <t>골드 100 채집</t>
    <phoneticPr fontId="18" type="noConversion"/>
  </si>
  <si>
    <t>목판 100 채집</t>
    <phoneticPr fontId="18" type="noConversion"/>
  </si>
  <si>
    <t>강철 100 채집</t>
    <phoneticPr fontId="18" type="noConversion"/>
  </si>
  <si>
    <t>신기한완두 1개 획득</t>
  </si>
  <si>
    <t>신기한완두 1개 획득</t>
    <phoneticPr fontId="18" type="noConversion"/>
  </si>
  <si>
    <t>건설가속 1분 사용</t>
    <phoneticPr fontId="18" type="noConversion"/>
  </si>
  <si>
    <t>UR 비행선 1회 파견</t>
    <phoneticPr fontId="18" type="noConversion"/>
  </si>
  <si>
    <t>레전드 보물찾기 1개</t>
    <phoneticPr fontId="18" type="noConversion"/>
  </si>
  <si>
    <t>기술가속 1분 사용</t>
    <phoneticPr fontId="18" type="noConversion"/>
  </si>
  <si>
    <t>기술 전투력 1 증가</t>
    <phoneticPr fontId="18" type="noConversion"/>
  </si>
  <si>
    <t>건설 전투력 1 증가</t>
    <phoneticPr fontId="18" type="noConversion"/>
  </si>
  <si>
    <t>개선훈장 1개 소모</t>
    <phoneticPr fontId="18" type="noConversion"/>
  </si>
  <si>
    <t>첩보 퀘스트 1개 완료</t>
    <phoneticPr fontId="18" type="noConversion"/>
  </si>
  <si>
    <t>신기한 원두 1개 획득</t>
    <phoneticPr fontId="18" type="noConversion"/>
  </si>
  <si>
    <t>번식 에픽 화환 1개사용</t>
    <phoneticPr fontId="18" type="noConversion"/>
  </si>
  <si>
    <t>번식 레전드 화환 1개사용</t>
    <phoneticPr fontId="18" type="noConversion"/>
  </si>
  <si>
    <t>번식 노멀 화환 1개사용</t>
    <phoneticPr fontId="18" type="noConversion"/>
  </si>
  <si>
    <t>개인번식기지 1분 가속</t>
    <phoneticPr fontId="18" type="noConversion"/>
  </si>
  <si>
    <t>레어 스킬열매 1개사용</t>
    <phoneticPr fontId="18" type="noConversion"/>
  </si>
  <si>
    <t>레전드 스킬열매 1개사용</t>
    <phoneticPr fontId="18" type="noConversion"/>
  </si>
  <si>
    <t>에픽 스킬열매 1개사용</t>
    <phoneticPr fontId="18" type="noConversion"/>
  </si>
  <si>
    <t>펠몬알 1회 부화</t>
    <phoneticPr fontId="18" type="noConversion"/>
  </si>
  <si>
    <t>UR팰몬 증표 1개 사용</t>
    <phoneticPr fontId="18" type="noConversion"/>
  </si>
  <si>
    <t>SSR팰몬 증표 1개 사용</t>
    <phoneticPr fontId="18" type="noConversion"/>
  </si>
  <si>
    <t>SR팰몬 증표 1개 사용</t>
    <phoneticPr fontId="18" type="noConversion"/>
  </si>
  <si>
    <t>건설 가속 1분 사용</t>
    <phoneticPr fontId="18" type="noConversion"/>
  </si>
  <si>
    <t>기술 가속 1분 사용</t>
    <phoneticPr fontId="18" type="noConversion"/>
  </si>
  <si>
    <t>훈련 가속 1분 사용</t>
    <phoneticPr fontId="18" type="noConversion"/>
  </si>
  <si>
    <t>Lv.1 아미고훈련</t>
    <phoneticPr fontId="18" type="noConversion"/>
  </si>
  <si>
    <t>Lv.2 아미고훈련</t>
  </si>
  <si>
    <t>Lv.3 아미고훈련</t>
  </si>
  <si>
    <t>Lv.4 아미고훈련</t>
  </si>
  <si>
    <t>Lv.5 아미고훈련</t>
  </si>
  <si>
    <t>Lv.6 아미고훈련</t>
  </si>
  <si>
    <t>Lv.7 아미고훈련</t>
  </si>
  <si>
    <t>Lv.8 아미고훈련</t>
  </si>
  <si>
    <t>Lv.9 아미고훈련</t>
  </si>
  <si>
    <t>진화 정수 1개 사용</t>
    <phoneticPr fontId="18" type="noConversion"/>
  </si>
  <si>
    <t>오로라 정수 1개 사용</t>
    <phoneticPr fontId="18" type="noConversion"/>
  </si>
  <si>
    <t>의료 가속 1분 사용</t>
    <phoneticPr fontId="18" type="noConversion"/>
  </si>
  <si>
    <t>타인Lv1.아미고 처치(특정길드매칭)</t>
    <phoneticPr fontId="18" type="noConversion"/>
  </si>
  <si>
    <t>타인Lv2.아미고 처치(특정길드매칭)</t>
  </si>
  <si>
    <t>타인Lv3.아미고 처치(특정길드매칭)</t>
  </si>
  <si>
    <t>타인Lv4.아미고 처치(특정길드매칭)</t>
  </si>
  <si>
    <t>타인Lv5.아미고 처치(특정길드매칭)</t>
  </si>
  <si>
    <t>타인Lv6.아미고 처치(특정길드매칭)</t>
  </si>
  <si>
    <t>타인Lv7.아미고 처치(특정길드매칭)</t>
  </si>
  <si>
    <t>타인Lv8.아미고 처치(특정길드매칭)</t>
  </si>
  <si>
    <t>타인Lv9.아미고 처치(특정길드매칭)</t>
  </si>
  <si>
    <t xml:space="preserve">  / 뒤 는 비특정 길드매칭</t>
    <phoneticPr fontId="18" type="noConversion"/>
  </si>
  <si>
    <r>
      <t xml:space="preserve">36 </t>
    </r>
    <r>
      <rPr>
        <sz val="11"/>
        <color rgb="FFFF0000"/>
        <rFont val="맑은 고딕"/>
        <family val="3"/>
        <charset val="129"/>
        <scheme val="minor"/>
      </rPr>
      <t>/ 7</t>
    </r>
    <phoneticPr fontId="18" type="noConversion"/>
  </si>
  <si>
    <r>
      <t xml:space="preserve">43 </t>
    </r>
    <r>
      <rPr>
        <sz val="11"/>
        <color rgb="FFFF0000"/>
        <rFont val="맑은 고딕"/>
        <family val="3"/>
        <charset val="129"/>
        <scheme val="minor"/>
      </rPr>
      <t>/ 10</t>
    </r>
    <phoneticPr fontId="18" type="noConversion"/>
  </si>
  <si>
    <r>
      <t xml:space="preserve">50 </t>
    </r>
    <r>
      <rPr>
        <sz val="11"/>
        <color rgb="FFFF0000"/>
        <rFont val="맑은 고딕"/>
        <family val="3"/>
        <charset val="129"/>
        <scheme val="minor"/>
      </rPr>
      <t>/ 12</t>
    </r>
    <phoneticPr fontId="18" type="noConversion"/>
  </si>
  <si>
    <r>
      <t xml:space="preserve">58 </t>
    </r>
    <r>
      <rPr>
        <sz val="11"/>
        <color rgb="FFFF0000"/>
        <rFont val="맑은 고딕"/>
        <family val="3"/>
        <charset val="129"/>
        <scheme val="minor"/>
      </rPr>
      <t>/ 14</t>
    </r>
    <phoneticPr fontId="18" type="noConversion"/>
  </si>
  <si>
    <r>
      <t>65</t>
    </r>
    <r>
      <rPr>
        <sz val="11"/>
        <color rgb="FFFF0000"/>
        <rFont val="맑은 고딕"/>
        <family val="3"/>
        <charset val="129"/>
        <scheme val="minor"/>
      </rPr>
      <t xml:space="preserve"> / 17</t>
    </r>
    <phoneticPr fontId="18" type="noConversion"/>
  </si>
  <si>
    <r>
      <t>72</t>
    </r>
    <r>
      <rPr>
        <sz val="11"/>
        <color rgb="FFFF0000"/>
        <rFont val="맑은 고딕"/>
        <family val="3"/>
        <charset val="129"/>
        <scheme val="minor"/>
      </rPr>
      <t xml:space="preserve"> / 19</t>
    </r>
    <phoneticPr fontId="18" type="noConversion"/>
  </si>
  <si>
    <r>
      <t>86</t>
    </r>
    <r>
      <rPr>
        <sz val="11"/>
        <color rgb="FFFF0000"/>
        <rFont val="맑은 고딕"/>
        <family val="3"/>
        <charset val="129"/>
        <scheme val="minor"/>
      </rPr>
      <t xml:space="preserve"> / 22</t>
    </r>
    <phoneticPr fontId="18" type="noConversion"/>
  </si>
  <si>
    <r>
      <t xml:space="preserve">108 </t>
    </r>
    <r>
      <rPr>
        <sz val="11"/>
        <color rgb="FFFF0000"/>
        <rFont val="맑은 고딕"/>
        <family val="3"/>
        <charset val="129"/>
        <scheme val="minor"/>
      </rPr>
      <t>/ 24</t>
    </r>
    <phoneticPr fontId="18" type="noConversion"/>
  </si>
  <si>
    <r>
      <t>132</t>
    </r>
    <r>
      <rPr>
        <sz val="11"/>
        <color rgb="FFFF0000"/>
        <rFont val="맑은 고딕"/>
        <family val="3"/>
        <charset val="129"/>
        <scheme val="minor"/>
      </rPr>
      <t xml:space="preserve"> / 26</t>
    </r>
    <phoneticPr fontId="18" type="noConversion"/>
  </si>
  <si>
    <t>4대속성 에너지 1개 사용</t>
    <phoneticPr fontId="18" type="noConversion"/>
  </si>
  <si>
    <t>타인전투 Lv1.아미고 사망 (MY)</t>
    <phoneticPr fontId="18" type="noConversion"/>
  </si>
  <si>
    <t>타인전투 Lv2.아미고 사망 (MY)</t>
  </si>
  <si>
    <t>타인전투 Lv3.아미고 사망 (MY)</t>
  </si>
  <si>
    <t>타인전투 Lv4.아미고 사망 (MY)</t>
  </si>
  <si>
    <t>타인전투 Lv5.아미고 사망 (MY)</t>
  </si>
  <si>
    <t>타인전투 Lv6.아미고 사망 (MY)</t>
  </si>
  <si>
    <t>타인전투 Lv7.아미고 사망 (MY)</t>
  </si>
  <si>
    <t>타인전투 Lv8.아미고 사망 (MY)</t>
  </si>
  <si>
    <t>타인전투 Lv9.아미고 사망 (MY)</t>
  </si>
  <si>
    <t>12</t>
    <phoneticPr fontId="18" type="noConversion"/>
  </si>
  <si>
    <t>16</t>
    <phoneticPr fontId="18" type="noConversion"/>
  </si>
  <si>
    <t>20</t>
    <phoneticPr fontId="18" type="noConversion"/>
  </si>
  <si>
    <t>24</t>
    <phoneticPr fontId="18" type="noConversion"/>
  </si>
  <si>
    <t>28</t>
    <phoneticPr fontId="18" type="noConversion"/>
  </si>
  <si>
    <t>32</t>
    <phoneticPr fontId="18" type="noConversion"/>
  </si>
  <si>
    <t>36</t>
    <phoneticPr fontId="18" type="noConversion"/>
  </si>
  <si>
    <t>40</t>
    <phoneticPr fontId="18" type="noConversion"/>
  </si>
  <si>
    <t>44</t>
    <phoneticPr fontId="18" type="noConversion"/>
  </si>
  <si>
    <t>길드대결  / 8월 모험가 대회</t>
    <phoneticPr fontId="18" type="noConversion"/>
  </si>
  <si>
    <t>갱신검색</t>
  </si>
  <si>
    <t>갱신검색</t>
    <phoneticPr fontId="18" type="noConversion"/>
  </si>
  <si>
    <t>적군 처치 (토)</t>
    <phoneticPr fontId="18" type="noConversion"/>
  </si>
  <si>
    <t>한국 : 오전 11시 초기화</t>
    <phoneticPr fontId="18" type="noConversion"/>
  </si>
  <si>
    <t>모험가대회 시간표</t>
    <phoneticPr fontId="18" type="noConversion"/>
  </si>
  <si>
    <t>아미고훈련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</si>
</sst>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[$-412]AM/PM\ h:mm;@"/>
    <numFmt numFmtId="177" formatCode="_(* #,##0_);_(* \(#,##0\);_(* &quot;-&quot;_);_(@_)"/>
  </numFmts>
  <fonts count="7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28"/>
      <color theme="1"/>
      <name val="우리돋움90C1"/>
      <family val="1"/>
      <charset val="129"/>
    </font>
    <font>
      <sz val="8"/>
      <name val="맑은 고딕"/>
      <family val="2"/>
      <charset val="129"/>
      <scheme val="minor"/>
    </font>
    <font>
      <sz val="9"/>
      <color theme="1"/>
      <name val="우리돋움90C1"/>
      <family val="1"/>
      <charset val="129"/>
    </font>
    <font>
      <sz val="11"/>
      <color theme="1"/>
      <name val="우리돋움90C1"/>
      <family val="1"/>
      <charset val="129"/>
    </font>
    <font>
      <b/>
      <sz val="14"/>
      <color theme="1"/>
      <name val="우리돋움90C1"/>
      <family val="1"/>
      <charset val="129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우리돋움90C1"/>
      <family val="1"/>
      <charset val="129"/>
    </font>
    <font>
      <b/>
      <sz val="20"/>
      <color theme="1"/>
      <name val="우리돋움90C1"/>
      <family val="1"/>
      <charset val="129"/>
    </font>
    <font>
      <b/>
      <sz val="18"/>
      <color theme="1"/>
      <name val="맑은 고딕"/>
      <family val="3"/>
      <charset val="129"/>
      <scheme val="minor"/>
    </font>
    <font>
      <b/>
      <sz val="14"/>
      <color rgb="FFFF0000"/>
      <name val="우리돋움90C1"/>
      <family val="1"/>
      <charset val="129"/>
    </font>
    <font>
      <b/>
      <sz val="9"/>
      <color theme="1"/>
      <name val="우리돋움90C1"/>
      <family val="1"/>
      <charset val="129"/>
    </font>
    <font>
      <sz val="8"/>
      <color theme="1"/>
      <name val="우리돋움90C1"/>
      <family val="1"/>
      <charset val="129"/>
    </font>
    <font>
      <sz val="9"/>
      <color rgb="FFFF0000"/>
      <name val="우리돋움90C1"/>
      <family val="1"/>
      <charset val="129"/>
    </font>
    <font>
      <sz val="11"/>
      <color rgb="FFFF0000"/>
      <name val="우리돋움90C1"/>
      <family val="1"/>
      <charset val="129"/>
    </font>
    <font>
      <sz val="8"/>
      <color rgb="FFFF0000"/>
      <name val="우리돋움90C1"/>
      <family val="1"/>
      <charset val="129"/>
    </font>
    <font>
      <sz val="9"/>
      <color rgb="FF0000CC"/>
      <name val="우리돋움90C1"/>
      <family val="1"/>
      <charset val="129"/>
    </font>
    <font>
      <sz val="11"/>
      <color rgb="FF0000CC"/>
      <name val="우리돋움90C1"/>
      <family val="1"/>
      <charset val="129"/>
    </font>
    <font>
      <sz val="8"/>
      <color rgb="FF0000CC"/>
      <name val="우리돋움90C1"/>
      <family val="1"/>
      <charset val="129"/>
    </font>
    <font>
      <sz val="11"/>
      <color rgb="FF0000CC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0"/>
      <color theme="1"/>
      <name val="나눔고딕"/>
      <family val="2"/>
      <charset val="129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i/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맑은 고딕"/>
      <family val="2"/>
      <scheme val="minor"/>
    </font>
    <font>
      <sz val="10"/>
      <color theme="1"/>
      <name val="나눔고딕"/>
      <family val="3"/>
      <charset val="129"/>
    </font>
    <font>
      <sz val="11"/>
      <name val="Calibri"/>
      <family val="2"/>
    </font>
    <font>
      <sz val="8"/>
      <name val="돋움체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9"/>
      <color theme="1"/>
      <name val="굴림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4"/>
      <color rgb="FF0000CC"/>
      <name val="우리돋움90C1"/>
      <family val="1"/>
      <charset val="129"/>
    </font>
    <font>
      <b/>
      <sz val="18"/>
      <color rgb="FF0000CC"/>
      <name val="맑은 고딕"/>
      <family val="3"/>
      <charset val="129"/>
      <scheme val="minor"/>
    </font>
    <font>
      <sz val="36"/>
      <color theme="1"/>
      <name val="우리돋움90C1"/>
      <family val="1"/>
      <charset val="129"/>
    </font>
    <font>
      <b/>
      <sz val="9"/>
      <color rgb="FFFF0000"/>
      <name val="우리돋움90C1"/>
      <family val="1"/>
      <charset val="129"/>
    </font>
    <font>
      <b/>
      <sz val="11"/>
      <color rgb="FFFF0000"/>
      <name val="우리돋움90C1"/>
      <family val="1"/>
      <charset val="129"/>
    </font>
    <font>
      <b/>
      <sz val="11"/>
      <color rgb="FFFF0000"/>
      <name val="맑은 고딕"/>
      <family val="2"/>
      <charset val="129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FF3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5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7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46" fillId="7" borderId="7" applyNumberFormat="0" applyAlignment="0" applyProtection="0">
      <alignment vertical="center"/>
    </xf>
    <xf numFmtId="0" fontId="46" fillId="7" borderId="7" applyNumberFormat="0" applyAlignment="0" applyProtection="0">
      <alignment vertical="center"/>
    </xf>
    <xf numFmtId="0" fontId="46" fillId="7" borderId="7" applyNumberFormat="0" applyAlignment="0" applyProtection="0">
      <alignment vertical="center"/>
    </xf>
    <xf numFmtId="0" fontId="46" fillId="7" borderId="7" applyNumberFormat="0" applyAlignment="0" applyProtection="0">
      <alignment vertical="center"/>
    </xf>
    <xf numFmtId="0" fontId="46" fillId="7" borderId="7" applyNumberFormat="0" applyAlignment="0" applyProtection="0">
      <alignment vertical="center"/>
    </xf>
    <xf numFmtId="0" fontId="46" fillId="7" borderId="7" applyNumberFormat="0" applyAlignment="0" applyProtection="0">
      <alignment vertical="center"/>
    </xf>
    <xf numFmtId="0" fontId="46" fillId="7" borderId="7" applyNumberFormat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177" fontId="47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51" fillId="0" borderId="0" applyFont="0" applyFill="0" applyBorder="0" applyAlignment="0" applyProtection="0">
      <alignment vertical="center"/>
    </xf>
    <xf numFmtId="177" fontId="4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top" wrapText="1"/>
      <protection locked="0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47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54" fillId="0" borderId="9" applyNumberFormat="0" applyFill="0" applyAlignment="0" applyProtection="0">
      <alignment vertical="center"/>
    </xf>
    <xf numFmtId="0" fontId="54" fillId="0" borderId="9" applyNumberFormat="0" applyFill="0" applyAlignment="0" applyProtection="0">
      <alignment vertical="center"/>
    </xf>
    <xf numFmtId="0" fontId="54" fillId="0" borderId="9" applyNumberFormat="0" applyFill="0" applyAlignment="0" applyProtection="0">
      <alignment vertical="center"/>
    </xf>
    <xf numFmtId="0" fontId="54" fillId="0" borderId="9" applyNumberFormat="0" applyFill="0" applyAlignment="0" applyProtection="0">
      <alignment vertical="center"/>
    </xf>
    <xf numFmtId="0" fontId="54" fillId="0" borderId="9" applyNumberFormat="0" applyFill="0" applyAlignment="0" applyProtection="0">
      <alignment vertical="center"/>
    </xf>
    <xf numFmtId="0" fontId="54" fillId="0" borderId="9" applyNumberFormat="0" applyFill="0" applyAlignment="0" applyProtection="0">
      <alignment vertical="center"/>
    </xf>
    <xf numFmtId="0" fontId="54" fillId="0" borderId="9" applyNumberFormat="0" applyFill="0" applyAlignment="0" applyProtection="0">
      <alignment vertical="center"/>
    </xf>
    <xf numFmtId="0" fontId="55" fillId="5" borderId="4" applyNumberFormat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55" fillId="5" borderId="4" applyNumberFormat="0" applyAlignment="0" applyProtection="0">
      <alignment vertical="center"/>
    </xf>
    <xf numFmtId="0" fontId="55" fillId="5" borderId="4" applyNumberFormat="0" applyAlignment="0" applyProtection="0">
      <alignment vertical="center"/>
    </xf>
    <xf numFmtId="0" fontId="55" fillId="5" borderId="4" applyNumberFormat="0" applyAlignment="0" applyProtection="0">
      <alignment vertical="center"/>
    </xf>
    <xf numFmtId="0" fontId="55" fillId="5" borderId="4" applyNumberFormat="0" applyAlignment="0" applyProtection="0">
      <alignment vertical="center"/>
    </xf>
    <xf numFmtId="0" fontId="55" fillId="5" borderId="4" applyNumberFormat="0" applyAlignment="0" applyProtection="0">
      <alignment vertical="center"/>
    </xf>
    <xf numFmtId="0" fontId="55" fillId="5" borderId="4" applyNumberFormat="0" applyAlignment="0" applyProtection="0">
      <alignment vertical="center"/>
    </xf>
    <xf numFmtId="0" fontId="55" fillId="5" borderId="4" applyNumberFormat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9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9" fillId="0" borderId="3" applyNumberFormat="0" applyFill="0" applyAlignment="0" applyProtection="0">
      <alignment vertical="center"/>
    </xf>
    <xf numFmtId="0" fontId="59" fillId="0" borderId="3" applyNumberFormat="0" applyFill="0" applyAlignment="0" applyProtection="0">
      <alignment vertical="center"/>
    </xf>
    <xf numFmtId="0" fontId="59" fillId="0" borderId="3" applyNumberFormat="0" applyFill="0" applyAlignment="0" applyProtection="0">
      <alignment vertical="center"/>
    </xf>
    <xf numFmtId="0" fontId="59" fillId="0" borderId="3" applyNumberFormat="0" applyFill="0" applyAlignment="0" applyProtection="0">
      <alignment vertical="center"/>
    </xf>
    <xf numFmtId="0" fontId="59" fillId="0" borderId="3" applyNumberFormat="0" applyFill="0" applyAlignment="0" applyProtection="0">
      <alignment vertical="center"/>
    </xf>
    <xf numFmtId="0" fontId="59" fillId="0" borderId="3" applyNumberFormat="0" applyFill="0" applyAlignment="0" applyProtection="0">
      <alignment vertical="center"/>
    </xf>
    <xf numFmtId="0" fontId="59" fillId="0" borderId="3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0" fillId="2" borderId="0" applyNumberFormat="0" applyBorder="0" applyAlignment="0" applyProtection="0">
      <alignment vertical="center"/>
    </xf>
    <xf numFmtId="0" fontId="60" fillId="2" borderId="0" applyNumberFormat="0" applyBorder="0" applyAlignment="0" applyProtection="0">
      <alignment vertical="center"/>
    </xf>
    <xf numFmtId="0" fontId="60" fillId="2" borderId="0" applyNumberFormat="0" applyBorder="0" applyAlignment="0" applyProtection="0">
      <alignment vertical="center"/>
    </xf>
    <xf numFmtId="0" fontId="60" fillId="2" borderId="0" applyNumberFormat="0" applyBorder="0" applyAlignment="0" applyProtection="0">
      <alignment vertical="center"/>
    </xf>
    <xf numFmtId="0" fontId="60" fillId="2" borderId="0" applyNumberFormat="0" applyBorder="0" applyAlignment="0" applyProtection="0">
      <alignment vertical="center"/>
    </xf>
    <xf numFmtId="0" fontId="60" fillId="2" borderId="0" applyNumberFormat="0" applyBorder="0" applyAlignment="0" applyProtection="0">
      <alignment vertical="center"/>
    </xf>
    <xf numFmtId="0" fontId="60" fillId="2" borderId="0" applyNumberFormat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2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63" fillId="0" borderId="0"/>
    <xf numFmtId="0" fontId="36" fillId="0" borderId="0">
      <alignment vertical="center"/>
    </xf>
    <xf numFmtId="0" fontId="64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0" borderId="0">
      <alignment vertical="center"/>
    </xf>
    <xf numFmtId="0" fontId="43" fillId="0" borderId="0">
      <alignment vertical="center"/>
    </xf>
    <xf numFmtId="0" fontId="36" fillId="0" borderId="0">
      <alignment vertical="center"/>
    </xf>
    <xf numFmtId="0" fontId="64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8" fillId="0" borderId="0"/>
    <xf numFmtId="0" fontId="42" fillId="0" borderId="0">
      <alignment vertical="center"/>
    </xf>
    <xf numFmtId="0" fontId="48" fillId="0" borderId="0"/>
    <xf numFmtId="0" fontId="64" fillId="0" borderId="0">
      <alignment vertical="center"/>
    </xf>
    <xf numFmtId="0" fontId="66" fillId="0" borderId="0">
      <alignment vertical="center"/>
    </xf>
    <xf numFmtId="0" fontId="64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3" fillId="0" borderId="0"/>
    <xf numFmtId="0" fontId="63" fillId="0" borderId="0"/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2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36" fillId="0" borderId="0">
      <alignment vertical="center"/>
    </xf>
    <xf numFmtId="0" fontId="64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0" borderId="0" applyNumberFormat="0" applyFill="0" applyBorder="0" applyAlignment="0" applyProtection="0">
      <alignment vertical="center"/>
    </xf>
  </cellStyleXfs>
  <cellXfs count="272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Fill="1" applyAlignment="1">
      <alignment horizontal="center" vertical="center" shrinkToFit="1"/>
    </xf>
    <xf numFmtId="0" fontId="2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shrinkToFit="1"/>
    </xf>
    <xf numFmtId="0" fontId="20" fillId="0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shrinkToFit="1"/>
    </xf>
    <xf numFmtId="0" fontId="0" fillId="0" borderId="10" xfId="0" applyBorder="1">
      <alignment vertical="center"/>
    </xf>
    <xf numFmtId="0" fontId="19" fillId="0" borderId="11" xfId="0" applyFont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 shrinkToFit="1"/>
    </xf>
    <xf numFmtId="0" fontId="20" fillId="0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11" xfId="0" applyBorder="1">
      <alignment vertical="center"/>
    </xf>
    <xf numFmtId="0" fontId="20" fillId="0" borderId="12" xfId="0" applyFont="1" applyFill="1" applyBorder="1" applyAlignment="1">
      <alignment horizontal="center" vertical="center" shrinkToFit="1"/>
    </xf>
    <xf numFmtId="0" fontId="20" fillId="0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0" fontId="0" fillId="0" borderId="12" xfId="0" applyBorder="1">
      <alignment vertical="center"/>
    </xf>
    <xf numFmtId="0" fontId="19" fillId="0" borderId="12" xfId="0" applyFont="1" applyBorder="1" applyAlignment="1">
      <alignment horizontal="center" vertical="center"/>
    </xf>
    <xf numFmtId="0" fontId="21" fillId="34" borderId="16" xfId="0" applyFont="1" applyFill="1" applyBorder="1" applyAlignment="1">
      <alignment horizontal="center" vertical="center" shrinkToFit="1"/>
    </xf>
    <xf numFmtId="0" fontId="22" fillId="0" borderId="0" xfId="0" applyFont="1">
      <alignment vertical="center"/>
    </xf>
    <xf numFmtId="0" fontId="21" fillId="35" borderId="16" xfId="0" applyFont="1" applyFill="1" applyBorder="1" applyAlignment="1">
      <alignment horizontal="center" vertical="center" shrinkToFit="1"/>
    </xf>
    <xf numFmtId="0" fontId="21" fillId="36" borderId="16" xfId="0" applyFont="1" applyFill="1" applyBorder="1" applyAlignment="1">
      <alignment horizontal="center" vertical="center" shrinkToFit="1"/>
    </xf>
    <xf numFmtId="0" fontId="21" fillId="37" borderId="16" xfId="0" applyFont="1" applyFill="1" applyBorder="1" applyAlignment="1">
      <alignment horizontal="center" vertical="center" shrinkToFit="1"/>
    </xf>
    <xf numFmtId="0" fontId="21" fillId="38" borderId="16" xfId="0" applyFont="1" applyFill="1" applyBorder="1" applyAlignment="1">
      <alignment horizontal="center" vertical="center" shrinkToFit="1"/>
    </xf>
    <xf numFmtId="0" fontId="21" fillId="39" borderId="16" xfId="0" applyFont="1" applyFill="1" applyBorder="1" applyAlignment="1">
      <alignment horizontal="center" vertical="center" shrinkToFit="1"/>
    </xf>
    <xf numFmtId="0" fontId="21" fillId="40" borderId="16" xfId="0" applyFont="1" applyFill="1" applyBorder="1" applyAlignment="1">
      <alignment horizontal="center" vertical="center" shrinkToFit="1"/>
    </xf>
    <xf numFmtId="0" fontId="0" fillId="34" borderId="16" xfId="0" applyFill="1" applyBorder="1" applyAlignment="1">
      <alignment horizontal="center" vertical="center" shrinkToFit="1"/>
    </xf>
    <xf numFmtId="0" fontId="0" fillId="35" borderId="16" xfId="0" applyFill="1" applyBorder="1" applyAlignment="1">
      <alignment horizontal="center" vertical="center" shrinkToFit="1"/>
    </xf>
    <xf numFmtId="0" fontId="0" fillId="36" borderId="16" xfId="0" applyFill="1" applyBorder="1" applyAlignment="1">
      <alignment horizontal="center" vertical="center" shrinkToFit="1"/>
    </xf>
    <xf numFmtId="0" fontId="0" fillId="37" borderId="16" xfId="0" applyFill="1" applyBorder="1" applyAlignment="1">
      <alignment horizontal="center" vertical="center" shrinkToFit="1"/>
    </xf>
    <xf numFmtId="0" fontId="0" fillId="38" borderId="16" xfId="0" applyFill="1" applyBorder="1" applyAlignment="1">
      <alignment horizontal="center" vertical="center" shrinkToFit="1"/>
    </xf>
    <xf numFmtId="0" fontId="0" fillId="39" borderId="16" xfId="0" applyFill="1" applyBorder="1" applyAlignment="1">
      <alignment horizontal="center" vertical="center" shrinkToFit="1"/>
    </xf>
    <xf numFmtId="0" fontId="0" fillId="40" borderId="16" xfId="0" applyFill="1" applyBorder="1" applyAlignment="1">
      <alignment horizontal="center" vertical="center" shrinkToFit="1"/>
    </xf>
    <xf numFmtId="0" fontId="27" fillId="41" borderId="25" xfId="0" applyFont="1" applyFill="1" applyBorder="1" applyAlignment="1">
      <alignment horizontal="center" vertical="center"/>
    </xf>
    <xf numFmtId="176" fontId="20" fillId="41" borderId="26" xfId="0" applyNumberFormat="1" applyFont="1" applyFill="1" applyBorder="1" applyAlignment="1">
      <alignment horizontal="center" vertical="center" shrinkToFit="1"/>
    </xf>
    <xf numFmtId="176" fontId="28" fillId="0" borderId="18" xfId="0" applyNumberFormat="1" applyFont="1" applyFill="1" applyBorder="1" applyAlignment="1">
      <alignment horizontal="center" vertical="center" shrinkToFit="1"/>
    </xf>
    <xf numFmtId="176" fontId="20" fillId="0" borderId="19" xfId="0" applyNumberFormat="1" applyFont="1" applyFill="1" applyBorder="1" applyAlignment="1">
      <alignment horizontal="center" vertical="center" shrinkToFit="1"/>
    </xf>
    <xf numFmtId="0" fontId="0" fillId="34" borderId="27" xfId="0" applyFill="1" applyBorder="1" applyAlignment="1">
      <alignment horizontal="center" vertical="center" shrinkToFit="1"/>
    </xf>
    <xf numFmtId="0" fontId="0" fillId="35" borderId="27" xfId="0" applyFill="1" applyBorder="1" applyAlignment="1">
      <alignment horizontal="center" vertical="center" shrinkToFit="1"/>
    </xf>
    <xf numFmtId="0" fontId="0" fillId="36" borderId="27" xfId="0" applyFill="1" applyBorder="1" applyAlignment="1">
      <alignment horizontal="center" vertical="center" shrinkToFit="1"/>
    </xf>
    <xf numFmtId="0" fontId="0" fillId="37" borderId="27" xfId="0" applyFill="1" applyBorder="1" applyAlignment="1">
      <alignment horizontal="center" vertical="center" shrinkToFit="1"/>
    </xf>
    <xf numFmtId="0" fontId="0" fillId="38" borderId="27" xfId="0" applyFill="1" applyBorder="1" applyAlignment="1">
      <alignment horizontal="center" vertical="center" shrinkToFit="1"/>
    </xf>
    <xf numFmtId="0" fontId="0" fillId="39" borderId="27" xfId="0" applyFill="1" applyBorder="1" applyAlignment="1">
      <alignment horizontal="center" vertical="center" shrinkToFit="1"/>
    </xf>
    <xf numFmtId="0" fontId="0" fillId="40" borderId="27" xfId="0" applyFill="1" applyBorder="1" applyAlignment="1">
      <alignment horizontal="center" vertical="center" shrinkToFit="1"/>
    </xf>
    <xf numFmtId="0" fontId="19" fillId="0" borderId="28" xfId="0" applyFont="1" applyFill="1" applyBorder="1" applyAlignment="1">
      <alignment horizontal="center" vertical="center"/>
    </xf>
    <xf numFmtId="176" fontId="20" fillId="0" borderId="29" xfId="0" applyNumberFormat="1" applyFont="1" applyFill="1" applyBorder="1" applyAlignment="1">
      <alignment horizontal="center" vertical="center" shrinkToFit="1"/>
    </xf>
    <xf numFmtId="0" fontId="28" fillId="0" borderId="10" xfId="0" applyFont="1" applyFill="1" applyBorder="1" applyAlignment="1">
      <alignment horizontal="center" vertical="center" shrinkToFit="1"/>
    </xf>
    <xf numFmtId="176" fontId="20" fillId="0" borderId="30" xfId="0" applyNumberFormat="1" applyFont="1" applyFill="1" applyBorder="1" applyAlignment="1">
      <alignment horizontal="center" vertical="center" shrinkToFit="1"/>
    </xf>
    <xf numFmtId="0" fontId="0" fillId="34" borderId="31" xfId="0" applyFill="1" applyBorder="1" applyAlignment="1">
      <alignment horizontal="center" vertical="center" shrinkToFit="1"/>
    </xf>
    <xf numFmtId="0" fontId="0" fillId="35" borderId="31" xfId="0" applyFill="1" applyBorder="1" applyAlignment="1">
      <alignment horizontal="center" vertical="center" shrinkToFit="1"/>
    </xf>
    <xf numFmtId="0" fontId="0" fillId="36" borderId="31" xfId="0" applyFill="1" applyBorder="1" applyAlignment="1">
      <alignment horizontal="center" vertical="center" shrinkToFit="1"/>
    </xf>
    <xf numFmtId="0" fontId="0" fillId="37" borderId="31" xfId="0" applyFill="1" applyBorder="1" applyAlignment="1">
      <alignment horizontal="center" vertical="center" shrinkToFit="1"/>
    </xf>
    <xf numFmtId="0" fontId="0" fillId="38" borderId="31" xfId="0" applyFill="1" applyBorder="1" applyAlignment="1">
      <alignment horizontal="center" vertical="center" shrinkToFit="1"/>
    </xf>
    <xf numFmtId="0" fontId="0" fillId="39" borderId="31" xfId="0" applyFill="1" applyBorder="1" applyAlignment="1">
      <alignment horizontal="center" vertical="center" shrinkToFit="1"/>
    </xf>
    <xf numFmtId="0" fontId="0" fillId="40" borderId="31" xfId="0" applyFill="1" applyBorder="1" applyAlignment="1">
      <alignment horizontal="center" vertical="center" shrinkToFit="1"/>
    </xf>
    <xf numFmtId="176" fontId="20" fillId="0" borderId="32" xfId="0" applyNumberFormat="1" applyFont="1" applyFill="1" applyBorder="1" applyAlignment="1">
      <alignment horizontal="center" vertical="center" shrinkToFit="1"/>
    </xf>
    <xf numFmtId="0" fontId="28" fillId="0" borderId="11" xfId="0" applyFont="1" applyFill="1" applyBorder="1" applyAlignment="1">
      <alignment horizontal="center" vertical="center" shrinkToFit="1"/>
    </xf>
    <xf numFmtId="176" fontId="20" fillId="0" borderId="33" xfId="0" applyNumberFormat="1" applyFont="1" applyFill="1" applyBorder="1" applyAlignment="1">
      <alignment horizontal="center" vertical="center" shrinkToFit="1"/>
    </xf>
    <xf numFmtId="0" fontId="29" fillId="0" borderId="28" xfId="0" applyFont="1" applyFill="1" applyBorder="1" applyAlignment="1">
      <alignment horizontal="center" vertical="center"/>
    </xf>
    <xf numFmtId="176" fontId="30" fillId="0" borderId="34" xfId="0" applyNumberFormat="1" applyFont="1" applyFill="1" applyBorder="1" applyAlignment="1">
      <alignment horizontal="center" vertical="center" shrinkToFit="1"/>
    </xf>
    <xf numFmtId="0" fontId="31" fillId="0" borderId="12" xfId="0" applyFont="1" applyFill="1" applyBorder="1" applyAlignment="1">
      <alignment horizontal="center" vertical="center" shrinkToFit="1"/>
    </xf>
    <xf numFmtId="176" fontId="30" fillId="0" borderId="35" xfId="0" applyNumberFormat="1" applyFont="1" applyFill="1" applyBorder="1" applyAlignment="1">
      <alignment horizontal="center" vertical="center" shrinkToFit="1"/>
    </xf>
    <xf numFmtId="0" fontId="19" fillId="0" borderId="36" xfId="0" applyFont="1" applyFill="1" applyBorder="1" applyAlignment="1">
      <alignment horizontal="center" vertical="center"/>
    </xf>
    <xf numFmtId="176" fontId="20" fillId="0" borderId="37" xfId="0" applyNumberFormat="1" applyFont="1" applyFill="1" applyBorder="1" applyAlignment="1">
      <alignment horizontal="center" vertical="center" shrinkToFit="1"/>
    </xf>
    <xf numFmtId="0" fontId="28" fillId="0" borderId="22" xfId="0" applyFont="1" applyFill="1" applyBorder="1" applyAlignment="1">
      <alignment horizontal="center" vertical="center" shrinkToFit="1"/>
    </xf>
    <xf numFmtId="176" fontId="20" fillId="0" borderId="23" xfId="0" applyNumberFormat="1" applyFont="1" applyFill="1" applyBorder="1" applyAlignment="1">
      <alignment horizontal="center" vertical="center" shrinkToFit="1"/>
    </xf>
    <xf numFmtId="0" fontId="0" fillId="34" borderId="24" xfId="0" applyFill="1" applyBorder="1" applyAlignment="1">
      <alignment horizontal="center" vertical="center" shrinkToFit="1"/>
    </xf>
    <xf numFmtId="0" fontId="0" fillId="35" borderId="24" xfId="0" applyFill="1" applyBorder="1" applyAlignment="1">
      <alignment horizontal="center" vertical="center" shrinkToFit="1"/>
    </xf>
    <xf numFmtId="0" fontId="0" fillId="36" borderId="24" xfId="0" applyFill="1" applyBorder="1" applyAlignment="1">
      <alignment horizontal="center" vertical="center" shrinkToFit="1"/>
    </xf>
    <xf numFmtId="0" fontId="0" fillId="37" borderId="24" xfId="0" applyFill="1" applyBorder="1" applyAlignment="1">
      <alignment horizontal="center" vertical="center" shrinkToFit="1"/>
    </xf>
    <xf numFmtId="0" fontId="0" fillId="38" borderId="24" xfId="0" applyFill="1" applyBorder="1" applyAlignment="1">
      <alignment horizontal="center" vertical="center" shrinkToFit="1"/>
    </xf>
    <xf numFmtId="0" fontId="0" fillId="39" borderId="24" xfId="0" applyFill="1" applyBorder="1" applyAlignment="1">
      <alignment horizontal="center" vertical="center" shrinkToFit="1"/>
    </xf>
    <xf numFmtId="0" fontId="0" fillId="40" borderId="24" xfId="0" applyFill="1" applyBorder="1" applyAlignment="1">
      <alignment horizontal="center" vertical="center" shrinkToFit="1"/>
    </xf>
    <xf numFmtId="0" fontId="32" fillId="0" borderId="36" xfId="0" applyFont="1" applyFill="1" applyBorder="1" applyAlignment="1">
      <alignment horizontal="center" vertical="center"/>
    </xf>
    <xf numFmtId="176" fontId="33" fillId="0" borderId="37" xfId="0" applyNumberFormat="1" applyFont="1" applyFill="1" applyBorder="1" applyAlignment="1">
      <alignment horizontal="center" vertical="center" shrinkToFit="1"/>
    </xf>
    <xf numFmtId="0" fontId="34" fillId="0" borderId="22" xfId="0" applyFont="1" applyFill="1" applyBorder="1" applyAlignment="1">
      <alignment horizontal="center" vertical="center" shrinkToFit="1"/>
    </xf>
    <xf numFmtId="176" fontId="33" fillId="0" borderId="23" xfId="0" applyNumberFormat="1" applyFont="1" applyFill="1" applyBorder="1" applyAlignment="1">
      <alignment horizontal="center" vertical="center" shrinkToFit="1"/>
    </xf>
    <xf numFmtId="0" fontId="35" fillId="34" borderId="24" xfId="0" applyFont="1" applyFill="1" applyBorder="1" applyAlignment="1">
      <alignment horizontal="center" vertical="center" shrinkToFit="1"/>
    </xf>
    <xf numFmtId="0" fontId="35" fillId="0" borderId="0" xfId="0" applyFont="1">
      <alignment vertical="center"/>
    </xf>
    <xf numFmtId="0" fontId="35" fillId="35" borderId="24" xfId="0" applyFont="1" applyFill="1" applyBorder="1" applyAlignment="1">
      <alignment horizontal="center" vertical="center" shrinkToFit="1"/>
    </xf>
    <xf numFmtId="0" fontId="35" fillId="36" borderId="24" xfId="0" applyFont="1" applyFill="1" applyBorder="1" applyAlignment="1">
      <alignment horizontal="center" vertical="center" shrinkToFit="1"/>
    </xf>
    <xf numFmtId="0" fontId="35" fillId="37" borderId="24" xfId="0" applyFont="1" applyFill="1" applyBorder="1" applyAlignment="1">
      <alignment horizontal="center" vertical="center" shrinkToFit="1"/>
    </xf>
    <xf numFmtId="0" fontId="35" fillId="38" borderId="24" xfId="0" applyFont="1" applyFill="1" applyBorder="1" applyAlignment="1">
      <alignment horizontal="center" vertical="center" shrinkToFit="1"/>
    </xf>
    <xf numFmtId="0" fontId="35" fillId="39" borderId="24" xfId="0" applyFont="1" applyFill="1" applyBorder="1" applyAlignment="1">
      <alignment horizontal="center" vertical="center" shrinkToFit="1"/>
    </xf>
    <xf numFmtId="0" fontId="35" fillId="40" borderId="24" xfId="0" applyFont="1" applyFill="1" applyBorder="1" applyAlignment="1">
      <alignment horizontal="center" vertical="center" shrinkToFit="1"/>
    </xf>
    <xf numFmtId="41" fontId="0" fillId="34" borderId="16" xfId="1" applyFont="1" applyFill="1" applyBorder="1" applyAlignment="1">
      <alignment horizontal="center" vertical="center" shrinkToFit="1"/>
    </xf>
    <xf numFmtId="41" fontId="0" fillId="34" borderId="27" xfId="1" applyFont="1" applyFill="1" applyBorder="1" applyAlignment="1">
      <alignment horizontal="center" vertical="center" shrinkToFit="1"/>
    </xf>
    <xf numFmtId="41" fontId="0" fillId="34" borderId="31" xfId="1" applyFont="1" applyFill="1" applyBorder="1" applyAlignment="1">
      <alignment horizontal="center" vertical="center" shrinkToFit="1"/>
    </xf>
    <xf numFmtId="41" fontId="0" fillId="34" borderId="24" xfId="1" applyFont="1" applyFill="1" applyBorder="1" applyAlignment="1">
      <alignment horizontal="center" vertical="center" shrinkToFit="1"/>
    </xf>
    <xf numFmtId="0" fontId="27" fillId="0" borderId="25" xfId="0" applyFont="1" applyFill="1" applyBorder="1" applyAlignment="1">
      <alignment horizontal="center" vertical="center"/>
    </xf>
    <xf numFmtId="176" fontId="20" fillId="0" borderId="29" xfId="0" applyNumberFormat="1" applyFont="1" applyFill="1" applyBorder="1" applyAlignment="1">
      <alignment horizontal="center" vertical="center" shrinkToFit="1"/>
    </xf>
    <xf numFmtId="176" fontId="20" fillId="0" borderId="32" xfId="0" applyNumberFormat="1" applyFont="1" applyFill="1" applyBorder="1" applyAlignment="1">
      <alignment horizontal="center" vertical="center" shrinkToFit="1"/>
    </xf>
    <xf numFmtId="176" fontId="20" fillId="0" borderId="33" xfId="0" applyNumberFormat="1" applyFont="1" applyFill="1" applyBorder="1" applyAlignment="1">
      <alignment horizontal="center" vertical="center" shrinkToFit="1"/>
    </xf>
    <xf numFmtId="41" fontId="0" fillId="35" borderId="27" xfId="1" applyFont="1" applyFill="1" applyBorder="1" applyAlignment="1">
      <alignment horizontal="center" vertical="center" shrinkToFit="1"/>
    </xf>
    <xf numFmtId="41" fontId="0" fillId="35" borderId="31" xfId="1" applyFont="1" applyFill="1" applyBorder="1" applyAlignment="1">
      <alignment horizontal="center" vertical="center" shrinkToFit="1"/>
    </xf>
    <xf numFmtId="41" fontId="0" fillId="35" borderId="24" xfId="1" applyFont="1" applyFill="1" applyBorder="1" applyAlignment="1">
      <alignment horizontal="center" vertical="center" shrinkToFit="1"/>
    </xf>
    <xf numFmtId="176" fontId="20" fillId="0" borderId="11" xfId="0" applyNumberFormat="1" applyFont="1" applyFill="1" applyBorder="1" applyAlignment="1">
      <alignment horizontal="center" vertical="center" shrinkToFit="1"/>
    </xf>
    <xf numFmtId="41" fontId="0" fillId="36" borderId="27" xfId="1" applyFont="1" applyFill="1" applyBorder="1" applyAlignment="1">
      <alignment horizontal="center" vertical="center" shrinkToFit="1"/>
    </xf>
    <xf numFmtId="41" fontId="0" fillId="36" borderId="31" xfId="1" applyFont="1" applyFill="1" applyBorder="1" applyAlignment="1">
      <alignment horizontal="center" vertical="center" shrinkToFit="1"/>
    </xf>
    <xf numFmtId="41" fontId="0" fillId="36" borderId="24" xfId="1" applyFont="1" applyFill="1" applyBorder="1" applyAlignment="1">
      <alignment horizontal="center" vertical="center" shrinkToFit="1"/>
    </xf>
    <xf numFmtId="41" fontId="0" fillId="37" borderId="31" xfId="1" applyFont="1" applyFill="1" applyBorder="1" applyAlignment="1">
      <alignment horizontal="center" vertical="center" shrinkToFit="1"/>
    </xf>
    <xf numFmtId="41" fontId="0" fillId="37" borderId="24" xfId="1" applyFont="1" applyFill="1" applyBorder="1" applyAlignment="1">
      <alignment horizontal="center" vertical="center" shrinkToFit="1"/>
    </xf>
    <xf numFmtId="41" fontId="0" fillId="38" borderId="27" xfId="1" applyFont="1" applyFill="1" applyBorder="1" applyAlignment="1">
      <alignment horizontal="center" vertical="center" shrinkToFit="1"/>
    </xf>
    <xf numFmtId="41" fontId="0" fillId="38" borderId="31" xfId="1" applyFont="1" applyFill="1" applyBorder="1" applyAlignment="1">
      <alignment horizontal="center" vertical="center" shrinkToFit="1"/>
    </xf>
    <xf numFmtId="41" fontId="0" fillId="38" borderId="24" xfId="1" applyFont="1" applyFill="1" applyBorder="1" applyAlignment="1">
      <alignment horizontal="center" vertical="center" shrinkToFit="1"/>
    </xf>
    <xf numFmtId="41" fontId="0" fillId="39" borderId="31" xfId="1" applyFont="1" applyFill="1" applyBorder="1" applyAlignment="1">
      <alignment horizontal="center" vertical="center" shrinkToFit="1"/>
    </xf>
    <xf numFmtId="41" fontId="0" fillId="39" borderId="24" xfId="1" applyFont="1" applyFill="1" applyBorder="1" applyAlignment="1">
      <alignment horizontal="center" vertical="center" shrinkToFit="1"/>
    </xf>
    <xf numFmtId="0" fontId="26" fillId="40" borderId="16" xfId="0" applyFont="1" applyFill="1" applyBorder="1" applyAlignment="1">
      <alignment horizontal="center" vertical="center" shrinkToFit="1"/>
    </xf>
    <xf numFmtId="0" fontId="69" fillId="39" borderId="16" xfId="0" applyFont="1" applyFill="1" applyBorder="1" applyAlignment="1">
      <alignment horizontal="center" vertical="center" shrinkToFit="1"/>
    </xf>
    <xf numFmtId="0" fontId="29" fillId="0" borderId="44" xfId="0" applyFont="1" applyFill="1" applyBorder="1" applyAlignment="1">
      <alignment horizontal="center" vertical="center"/>
    </xf>
    <xf numFmtId="41" fontId="0" fillId="36" borderId="45" xfId="1" applyFont="1" applyFill="1" applyBorder="1" applyAlignment="1">
      <alignment horizontal="center" vertical="center" shrinkToFit="1"/>
    </xf>
    <xf numFmtId="49" fontId="0" fillId="39" borderId="31" xfId="1" applyNumberFormat="1" applyFont="1" applyFill="1" applyBorder="1" applyAlignment="1">
      <alignment horizontal="center" vertical="center" shrinkToFit="1"/>
    </xf>
    <xf numFmtId="0" fontId="29" fillId="0" borderId="36" xfId="0" applyFont="1" applyFill="1" applyBorder="1" applyAlignment="1">
      <alignment horizontal="center" vertical="center"/>
    </xf>
    <xf numFmtId="41" fontId="0" fillId="39" borderId="46" xfId="1" applyFont="1" applyFill="1" applyBorder="1" applyAlignment="1">
      <alignment horizontal="center" vertical="center" shrinkToFit="1"/>
    </xf>
    <xf numFmtId="176" fontId="20" fillId="0" borderId="30" xfId="0" applyNumberFormat="1" applyFont="1" applyFill="1" applyBorder="1" applyAlignment="1">
      <alignment horizontal="center" vertical="center" shrinkToFit="1"/>
    </xf>
    <xf numFmtId="41" fontId="0" fillId="38" borderId="47" xfId="1" applyFont="1" applyFill="1" applyBorder="1" applyAlignment="1">
      <alignment horizontal="center" vertical="center" shrinkToFit="1"/>
    </xf>
    <xf numFmtId="0" fontId="29" fillId="0" borderId="48" xfId="0" applyFont="1" applyFill="1" applyBorder="1" applyAlignment="1">
      <alignment horizontal="center" vertical="center"/>
    </xf>
    <xf numFmtId="0" fontId="29" fillId="0" borderId="25" xfId="0" applyFont="1" applyFill="1" applyBorder="1" applyAlignment="1">
      <alignment horizontal="center" vertical="center"/>
    </xf>
    <xf numFmtId="41" fontId="13" fillId="38" borderId="49" xfId="1" applyFont="1" applyFill="1" applyBorder="1" applyAlignment="1">
      <alignment horizontal="center" vertical="center" shrinkToFit="1"/>
    </xf>
    <xf numFmtId="41" fontId="13" fillId="38" borderId="31" xfId="1" applyFont="1" applyFill="1" applyBorder="1" applyAlignment="1">
      <alignment horizontal="center" vertical="center" shrinkToFit="1"/>
    </xf>
    <xf numFmtId="41" fontId="13" fillId="38" borderId="46" xfId="1" applyFont="1" applyFill="1" applyBorder="1" applyAlignment="1">
      <alignment horizontal="center" vertical="center" shrinkToFit="1"/>
    </xf>
    <xf numFmtId="0" fontId="72" fillId="0" borderId="25" xfId="0" applyFont="1" applyFill="1" applyBorder="1" applyAlignment="1">
      <alignment horizontal="center" vertical="center"/>
    </xf>
    <xf numFmtId="41" fontId="13" fillId="39" borderId="31" xfId="1" applyFont="1" applyFill="1" applyBorder="1" applyAlignment="1">
      <alignment horizontal="center" vertical="center" shrinkToFit="1"/>
    </xf>
    <xf numFmtId="41" fontId="13" fillId="38" borderId="27" xfId="1" applyFont="1" applyFill="1" applyBorder="1" applyAlignment="1">
      <alignment horizontal="center" vertical="center" shrinkToFit="1"/>
    </xf>
    <xf numFmtId="41" fontId="13" fillId="37" borderId="27" xfId="1" applyFont="1" applyFill="1" applyBorder="1" applyAlignment="1">
      <alignment horizontal="center" vertical="center" shrinkToFit="1"/>
    </xf>
    <xf numFmtId="41" fontId="13" fillId="37" borderId="31" xfId="1" applyFont="1" applyFill="1" applyBorder="1" applyAlignment="1">
      <alignment horizontal="center" vertical="center" shrinkToFit="1"/>
    </xf>
    <xf numFmtId="0" fontId="19" fillId="0" borderId="44" xfId="0" applyFont="1" applyFill="1" applyBorder="1" applyAlignment="1">
      <alignment horizontal="center" vertical="center"/>
    </xf>
    <xf numFmtId="41" fontId="0" fillId="37" borderId="47" xfId="1" applyFont="1" applyFill="1" applyBorder="1" applyAlignment="1">
      <alignment horizontal="center" vertical="center" shrinkToFit="1"/>
    </xf>
    <xf numFmtId="176" fontId="30" fillId="0" borderId="34" xfId="0" applyNumberFormat="1" applyFont="1" applyFill="1" applyBorder="1" applyAlignment="1">
      <alignment horizontal="center" vertical="center" shrinkToFit="1"/>
    </xf>
    <xf numFmtId="176" fontId="30" fillId="0" borderId="35" xfId="0" applyNumberFormat="1" applyFont="1" applyFill="1" applyBorder="1" applyAlignment="1">
      <alignment horizontal="center" vertical="center" shrinkToFit="1"/>
    </xf>
    <xf numFmtId="41" fontId="74" fillId="37" borderId="49" xfId="1" applyFont="1" applyFill="1" applyBorder="1" applyAlignment="1">
      <alignment horizontal="center" vertical="center" shrinkToFit="1"/>
    </xf>
    <xf numFmtId="0" fontId="72" fillId="0" borderId="28" xfId="0" applyFont="1" applyFill="1" applyBorder="1" applyAlignment="1">
      <alignment horizontal="center" vertical="center"/>
    </xf>
    <xf numFmtId="41" fontId="74" fillId="37" borderId="31" xfId="1" applyFont="1" applyFill="1" applyBorder="1" applyAlignment="1">
      <alignment horizontal="center" vertical="center" shrinkToFit="1"/>
    </xf>
    <xf numFmtId="0" fontId="72" fillId="0" borderId="36" xfId="0" applyFont="1" applyFill="1" applyBorder="1" applyAlignment="1">
      <alignment horizontal="center" vertical="center"/>
    </xf>
    <xf numFmtId="41" fontId="74" fillId="37" borderId="46" xfId="1" applyFont="1" applyFill="1" applyBorder="1" applyAlignment="1">
      <alignment horizontal="center" vertical="center" shrinkToFit="1"/>
    </xf>
    <xf numFmtId="41" fontId="74" fillId="36" borderId="31" xfId="1" applyFont="1" applyFill="1" applyBorder="1" applyAlignment="1">
      <alignment horizontal="center" vertical="center" shrinkToFit="1"/>
    </xf>
    <xf numFmtId="41" fontId="0" fillId="36" borderId="47" xfId="1" applyFont="1" applyFill="1" applyBorder="1" applyAlignment="1">
      <alignment horizontal="center" vertical="center" shrinkToFit="1"/>
    </xf>
    <xf numFmtId="41" fontId="74" fillId="36" borderId="49" xfId="1" applyFont="1" applyFill="1" applyBorder="1" applyAlignment="1">
      <alignment horizontal="center" vertical="center" shrinkToFit="1"/>
    </xf>
    <xf numFmtId="41" fontId="74" fillId="36" borderId="46" xfId="1" applyFont="1" applyFill="1" applyBorder="1" applyAlignment="1">
      <alignment horizontal="center" vertical="center" shrinkToFit="1"/>
    </xf>
    <xf numFmtId="0" fontId="29" fillId="0" borderId="50" xfId="0" applyFont="1" applyFill="1" applyBorder="1" applyAlignment="1">
      <alignment horizontal="center" vertical="center"/>
    </xf>
    <xf numFmtId="41" fontId="0" fillId="35" borderId="47" xfId="1" applyFont="1" applyFill="1" applyBorder="1" applyAlignment="1">
      <alignment horizontal="center" vertical="center" shrinkToFit="1"/>
    </xf>
    <xf numFmtId="41" fontId="13" fillId="35" borderId="49" xfId="1" applyFont="1" applyFill="1" applyBorder="1" applyAlignment="1">
      <alignment horizontal="center" vertical="center" shrinkToFit="1"/>
    </xf>
    <xf numFmtId="41" fontId="13" fillId="35" borderId="46" xfId="1" applyFont="1" applyFill="1" applyBorder="1" applyAlignment="1">
      <alignment horizontal="center" vertical="center" shrinkToFit="1"/>
    </xf>
    <xf numFmtId="41" fontId="0" fillId="34" borderId="47" xfId="1" applyFont="1" applyFill="1" applyBorder="1" applyAlignment="1">
      <alignment horizontal="center" vertical="center" shrinkToFit="1"/>
    </xf>
    <xf numFmtId="0" fontId="72" fillId="0" borderId="13" xfId="0" applyFont="1" applyFill="1" applyBorder="1" applyAlignment="1">
      <alignment horizontal="center" vertical="center"/>
    </xf>
    <xf numFmtId="41" fontId="74" fillId="34" borderId="16" xfId="1" applyFont="1" applyFill="1" applyBorder="1" applyAlignment="1">
      <alignment horizontal="center" vertical="center" shrinkToFit="1"/>
    </xf>
    <xf numFmtId="0" fontId="19" fillId="0" borderId="48" xfId="0" applyFont="1" applyFill="1" applyBorder="1" applyAlignment="1">
      <alignment horizontal="center" vertical="center"/>
    </xf>
    <xf numFmtId="0" fontId="72" fillId="0" borderId="21" xfId="0" applyFont="1" applyFill="1" applyBorder="1" applyAlignment="1">
      <alignment horizontal="center" vertical="center"/>
    </xf>
    <xf numFmtId="41" fontId="74" fillId="34" borderId="24" xfId="1" applyFont="1" applyFill="1" applyBorder="1" applyAlignment="1">
      <alignment horizontal="center" vertical="center" shrinkToFit="1"/>
    </xf>
    <xf numFmtId="41" fontId="0" fillId="34" borderId="49" xfId="1" applyFont="1" applyFill="1" applyBorder="1" applyAlignment="1">
      <alignment horizontal="center" vertical="center" shrinkToFit="1"/>
    </xf>
    <xf numFmtId="0" fontId="29" fillId="39" borderId="28" xfId="0" applyFont="1" applyFill="1" applyBorder="1" applyAlignment="1">
      <alignment horizontal="center" vertical="center"/>
    </xf>
    <xf numFmtId="176" fontId="30" fillId="39" borderId="34" xfId="0" applyNumberFormat="1" applyFont="1" applyFill="1" applyBorder="1" applyAlignment="1">
      <alignment horizontal="center" vertical="center" shrinkToFit="1"/>
    </xf>
    <xf numFmtId="0" fontId="31" fillId="39" borderId="12" xfId="0" applyFont="1" applyFill="1" applyBorder="1" applyAlignment="1">
      <alignment horizontal="center" vertical="center" shrinkToFit="1"/>
    </xf>
    <xf numFmtId="176" fontId="30" fillId="39" borderId="35" xfId="0" applyNumberFormat="1" applyFont="1" applyFill="1" applyBorder="1" applyAlignment="1">
      <alignment horizontal="center" vertical="center" shrinkToFit="1"/>
    </xf>
    <xf numFmtId="176" fontId="20" fillId="0" borderId="11" xfId="0" applyNumberFormat="1" applyFont="1" applyFill="1" applyBorder="1" applyAlignment="1">
      <alignment horizontal="center" vertical="center" shrinkToFit="1"/>
    </xf>
    <xf numFmtId="176" fontId="20" fillId="0" borderId="33" xfId="0" applyNumberFormat="1" applyFont="1" applyFill="1" applyBorder="1" applyAlignment="1">
      <alignment horizontal="center" vertical="center" shrinkToFit="1"/>
    </xf>
    <xf numFmtId="176" fontId="20" fillId="0" borderId="32" xfId="0" applyNumberFormat="1" applyFont="1" applyFill="1" applyBorder="1" applyAlignment="1">
      <alignment horizontal="center" vertical="center" shrinkToFit="1"/>
    </xf>
    <xf numFmtId="176" fontId="20" fillId="0" borderId="41" xfId="0" applyNumberFormat="1" applyFont="1" applyFill="1" applyBorder="1" applyAlignment="1">
      <alignment horizontal="center" vertical="center" shrinkToFit="1"/>
    </xf>
    <xf numFmtId="176" fontId="20" fillId="0" borderId="42" xfId="0" applyNumberFormat="1" applyFont="1" applyFill="1" applyBorder="1" applyAlignment="1">
      <alignment horizontal="center" vertical="center" shrinkToFit="1"/>
    </xf>
    <xf numFmtId="176" fontId="20" fillId="0" borderId="43" xfId="0" applyNumberFormat="1" applyFont="1" applyFill="1" applyBorder="1" applyAlignment="1">
      <alignment horizontal="center" vertical="center" shrinkToFit="1"/>
    </xf>
    <xf numFmtId="176" fontId="20" fillId="0" borderId="32" xfId="0" applyNumberFormat="1" applyFont="1" applyFill="1" applyBorder="1" applyAlignment="1">
      <alignment horizontal="center" vertical="center" shrinkToFit="1"/>
    </xf>
    <xf numFmtId="176" fontId="20" fillId="0" borderId="11" xfId="0" applyNumberFormat="1" applyFont="1" applyFill="1" applyBorder="1" applyAlignment="1">
      <alignment horizontal="center" vertical="center" shrinkToFit="1"/>
    </xf>
    <xf numFmtId="176" fontId="20" fillId="0" borderId="33" xfId="0" applyNumberFormat="1" applyFont="1" applyFill="1" applyBorder="1" applyAlignment="1">
      <alignment horizontal="center" vertical="center" shrinkToFit="1"/>
    </xf>
    <xf numFmtId="0" fontId="30" fillId="0" borderId="28" xfId="0" applyFont="1" applyFill="1" applyBorder="1" applyAlignment="1">
      <alignment horizontal="center" vertical="center"/>
    </xf>
    <xf numFmtId="0" fontId="30" fillId="0" borderId="11" xfId="0" applyFont="1" applyFill="1" applyBorder="1" applyAlignment="1">
      <alignment horizontal="center" vertical="center"/>
    </xf>
    <xf numFmtId="0" fontId="30" fillId="0" borderId="33" xfId="0" applyFont="1" applyFill="1" applyBorder="1" applyAlignment="1">
      <alignment horizontal="center" vertical="center"/>
    </xf>
    <xf numFmtId="176" fontId="30" fillId="0" borderId="41" xfId="0" applyNumberFormat="1" applyFont="1" applyFill="1" applyBorder="1" applyAlignment="1">
      <alignment horizontal="center" vertical="center" shrinkToFit="1"/>
    </xf>
    <xf numFmtId="176" fontId="30" fillId="0" borderId="42" xfId="0" applyNumberFormat="1" applyFont="1" applyFill="1" applyBorder="1" applyAlignment="1">
      <alignment horizontal="center" vertical="center" shrinkToFit="1"/>
    </xf>
    <xf numFmtId="176" fontId="30" fillId="0" borderId="43" xfId="0" applyNumberFormat="1" applyFont="1" applyFill="1" applyBorder="1" applyAlignment="1">
      <alignment horizontal="center" vertical="center" shrinkToFit="1"/>
    </xf>
    <xf numFmtId="176" fontId="20" fillId="0" borderId="28" xfId="0" applyNumberFormat="1" applyFont="1" applyFill="1" applyBorder="1" applyAlignment="1">
      <alignment horizontal="center" vertical="center" shrinkToFit="1"/>
    </xf>
    <xf numFmtId="176" fontId="20" fillId="0" borderId="34" xfId="0" applyNumberFormat="1" applyFont="1" applyFill="1" applyBorder="1" applyAlignment="1">
      <alignment horizontal="center" vertical="center" shrinkToFit="1"/>
    </xf>
    <xf numFmtId="176" fontId="20" fillId="0" borderId="12" xfId="0" applyNumberFormat="1" applyFont="1" applyFill="1" applyBorder="1" applyAlignment="1">
      <alignment horizontal="center" vertical="center" shrinkToFit="1"/>
    </xf>
    <xf numFmtId="176" fontId="20" fillId="0" borderId="35" xfId="0" applyNumberFormat="1" applyFont="1" applyFill="1" applyBorder="1" applyAlignment="1">
      <alignment horizontal="center" vertical="center" shrinkToFit="1"/>
    </xf>
    <xf numFmtId="176" fontId="30" fillId="0" borderId="32" xfId="0" applyNumberFormat="1" applyFont="1" applyFill="1" applyBorder="1" applyAlignment="1">
      <alignment horizontal="center" vertical="center" shrinkToFit="1"/>
    </xf>
    <xf numFmtId="176" fontId="30" fillId="0" borderId="11" xfId="0" applyNumberFormat="1" applyFont="1" applyFill="1" applyBorder="1" applyAlignment="1">
      <alignment horizontal="center" vertical="center" shrinkToFit="1"/>
    </xf>
    <xf numFmtId="176" fontId="30" fillId="0" borderId="33" xfId="0" applyNumberFormat="1" applyFont="1" applyFill="1" applyBorder="1" applyAlignment="1">
      <alignment horizontal="center" vertical="center" shrinkToFit="1"/>
    </xf>
    <xf numFmtId="176" fontId="73" fillId="0" borderId="32" xfId="0" applyNumberFormat="1" applyFont="1" applyFill="1" applyBorder="1" applyAlignment="1">
      <alignment horizontal="center" vertical="center" shrinkToFit="1"/>
    </xf>
    <xf numFmtId="176" fontId="73" fillId="0" borderId="11" xfId="0" applyNumberFormat="1" applyFont="1" applyFill="1" applyBorder="1" applyAlignment="1">
      <alignment horizontal="center" vertical="center" shrinkToFit="1"/>
    </xf>
    <xf numFmtId="176" fontId="73" fillId="0" borderId="33" xfId="0" applyNumberFormat="1" applyFont="1" applyFill="1" applyBorder="1" applyAlignment="1">
      <alignment horizontal="center" vertical="center" shrinkToFit="1"/>
    </xf>
    <xf numFmtId="176" fontId="73" fillId="0" borderId="41" xfId="0" applyNumberFormat="1" applyFont="1" applyFill="1" applyBorder="1" applyAlignment="1">
      <alignment horizontal="center" vertical="center" shrinkToFit="1"/>
    </xf>
    <xf numFmtId="176" fontId="73" fillId="0" borderId="42" xfId="0" applyNumberFormat="1" applyFont="1" applyFill="1" applyBorder="1" applyAlignment="1">
      <alignment horizontal="center" vertical="center" shrinkToFit="1"/>
    </xf>
    <xf numFmtId="176" fontId="73" fillId="0" borderId="43" xfId="0" applyNumberFormat="1" applyFont="1" applyFill="1" applyBorder="1" applyAlignment="1">
      <alignment horizontal="center" vertical="center" shrinkToFit="1"/>
    </xf>
    <xf numFmtId="176" fontId="73" fillId="0" borderId="53" xfId="0" applyNumberFormat="1" applyFont="1" applyFill="1" applyBorder="1" applyAlignment="1">
      <alignment horizontal="center" vertical="center" shrinkToFit="1"/>
    </xf>
    <xf numFmtId="176" fontId="73" fillId="0" borderId="14" xfId="0" applyNumberFormat="1" applyFont="1" applyFill="1" applyBorder="1" applyAlignment="1">
      <alignment horizontal="center" vertical="center" shrinkToFit="1"/>
    </xf>
    <xf numFmtId="176" fontId="73" fillId="0" borderId="15" xfId="0" applyNumberFormat="1" applyFont="1" applyFill="1" applyBorder="1" applyAlignment="1">
      <alignment horizontal="center" vertical="center" shrinkToFit="1"/>
    </xf>
    <xf numFmtId="176" fontId="20" fillId="0" borderId="51" xfId="0" applyNumberFormat="1" applyFont="1" applyFill="1" applyBorder="1" applyAlignment="1">
      <alignment horizontal="center" vertical="center" shrinkToFit="1"/>
    </xf>
    <xf numFmtId="176" fontId="20" fillId="0" borderId="0" xfId="0" applyNumberFormat="1" applyFont="1" applyFill="1" applyBorder="1" applyAlignment="1">
      <alignment horizontal="center" vertical="center" shrinkToFit="1"/>
    </xf>
    <xf numFmtId="176" fontId="20" fillId="0" borderId="52" xfId="0" applyNumberFormat="1" applyFont="1" applyFill="1" applyBorder="1" applyAlignment="1">
      <alignment horizontal="center" vertical="center" shrinkToFit="1"/>
    </xf>
    <xf numFmtId="176" fontId="20" fillId="0" borderId="29" xfId="0" applyNumberFormat="1" applyFont="1" applyFill="1" applyBorder="1" applyAlignment="1">
      <alignment horizontal="center" vertical="center" shrinkToFit="1"/>
    </xf>
    <xf numFmtId="176" fontId="20" fillId="0" borderId="10" xfId="0" applyNumberFormat="1" applyFont="1" applyFill="1" applyBorder="1" applyAlignment="1">
      <alignment horizontal="center" vertical="center" shrinkToFit="1"/>
    </xf>
    <xf numFmtId="176" fontId="20" fillId="0" borderId="30" xfId="0" applyNumberFormat="1" applyFont="1" applyFill="1" applyBorder="1" applyAlignment="1">
      <alignment horizontal="center" vertical="center" shrinkToFit="1"/>
    </xf>
    <xf numFmtId="176" fontId="73" fillId="0" borderId="38" xfId="0" applyNumberFormat="1" applyFont="1" applyFill="1" applyBorder="1" applyAlignment="1">
      <alignment horizontal="center" vertical="center" shrinkToFit="1"/>
    </xf>
    <xf numFmtId="176" fontId="73" fillId="0" borderId="39" xfId="0" applyNumberFormat="1" applyFont="1" applyFill="1" applyBorder="1" applyAlignment="1">
      <alignment horizontal="center" vertical="center" shrinkToFit="1"/>
    </xf>
    <xf numFmtId="176" fontId="73" fillId="0" borderId="40" xfId="0" applyNumberFormat="1" applyFont="1" applyFill="1" applyBorder="1" applyAlignment="1">
      <alignment horizontal="center" vertical="center" shrinkToFit="1"/>
    </xf>
    <xf numFmtId="176" fontId="30" fillId="0" borderId="34" xfId="0" applyNumberFormat="1" applyFont="1" applyFill="1" applyBorder="1" applyAlignment="1">
      <alignment horizontal="center" vertical="center" shrinkToFit="1"/>
    </xf>
    <xf numFmtId="176" fontId="30" fillId="0" borderId="12" xfId="0" applyNumberFormat="1" applyFont="1" applyFill="1" applyBorder="1" applyAlignment="1">
      <alignment horizontal="center" vertical="center" shrinkToFit="1"/>
    </xf>
    <xf numFmtId="176" fontId="30" fillId="0" borderId="35" xfId="0" applyNumberFormat="1" applyFont="1" applyFill="1" applyBorder="1" applyAlignment="1">
      <alignment horizontal="center" vertical="center" shrinkToFit="1"/>
    </xf>
    <xf numFmtId="176" fontId="30" fillId="0" borderId="38" xfId="0" applyNumberFormat="1" applyFont="1" applyFill="1" applyBorder="1" applyAlignment="1">
      <alignment horizontal="center" vertical="center" shrinkToFit="1"/>
    </xf>
    <xf numFmtId="176" fontId="30" fillId="0" borderId="39" xfId="0" applyNumberFormat="1" applyFont="1" applyFill="1" applyBorder="1" applyAlignment="1">
      <alignment horizontal="center" vertical="center" shrinkToFit="1"/>
    </xf>
    <xf numFmtId="176" fontId="30" fillId="0" borderId="40" xfId="0" applyNumberFormat="1" applyFont="1" applyFill="1" applyBorder="1" applyAlignment="1">
      <alignment horizontal="center" vertical="center" shrinkToFit="1"/>
    </xf>
    <xf numFmtId="176" fontId="20" fillId="0" borderId="38" xfId="0" applyNumberFormat="1" applyFont="1" applyFill="1" applyBorder="1" applyAlignment="1">
      <alignment horizontal="center" vertical="center" shrinkToFit="1"/>
    </xf>
    <xf numFmtId="176" fontId="20" fillId="0" borderId="39" xfId="0" applyNumberFormat="1" applyFont="1" applyFill="1" applyBorder="1" applyAlignment="1">
      <alignment horizontal="center" vertical="center" shrinkToFit="1"/>
    </xf>
    <xf numFmtId="176" fontId="20" fillId="0" borderId="40" xfId="0" applyNumberFormat="1" applyFont="1" applyFill="1" applyBorder="1" applyAlignment="1">
      <alignment horizontal="center" vertical="center" shrinkToFit="1"/>
    </xf>
    <xf numFmtId="176" fontId="73" fillId="0" borderId="37" xfId="0" applyNumberFormat="1" applyFont="1" applyFill="1" applyBorder="1" applyAlignment="1">
      <alignment horizontal="center" vertical="center" shrinkToFit="1"/>
    </xf>
    <xf numFmtId="176" fontId="73" fillId="0" borderId="22" xfId="0" applyNumberFormat="1" applyFont="1" applyFill="1" applyBorder="1" applyAlignment="1">
      <alignment horizontal="center" vertical="center" shrinkToFit="1"/>
    </xf>
    <xf numFmtId="176" fontId="73" fillId="0" borderId="23" xfId="0" applyNumberFormat="1" applyFont="1" applyFill="1" applyBorder="1" applyAlignment="1">
      <alignment horizontal="center" vertical="center" shrinkToFit="1"/>
    </xf>
    <xf numFmtId="0" fontId="20" fillId="0" borderId="13" xfId="0" applyFont="1" applyFill="1" applyBorder="1" applyAlignment="1">
      <alignment horizontal="center" vertical="center" shrinkToFit="1"/>
    </xf>
    <xf numFmtId="0" fontId="20" fillId="0" borderId="14" xfId="0" applyFont="1" applyFill="1" applyBorder="1" applyAlignment="1">
      <alignment horizontal="center" vertical="center" shrinkToFit="1"/>
    </xf>
    <xf numFmtId="0" fontId="20" fillId="0" borderId="15" xfId="0" applyFont="1" applyFill="1" applyBorder="1" applyAlignment="1">
      <alignment horizontal="center" vertical="center" shrinkToFit="1"/>
    </xf>
    <xf numFmtId="0" fontId="23" fillId="0" borderId="17" xfId="0" applyFont="1" applyFill="1" applyBorder="1" applyAlignment="1">
      <alignment horizontal="right" vertical="center" shrinkToFit="1"/>
    </xf>
    <xf numFmtId="0" fontId="23" fillId="0" borderId="21" xfId="0" applyFont="1" applyFill="1" applyBorder="1" applyAlignment="1">
      <alignment horizontal="right" vertical="center" shrinkToFit="1"/>
    </xf>
    <xf numFmtId="0" fontId="23" fillId="0" borderId="18" xfId="0" applyFont="1" applyFill="1" applyBorder="1" applyAlignment="1">
      <alignment horizontal="left" vertical="center" shrinkToFit="1"/>
    </xf>
    <xf numFmtId="0" fontId="23" fillId="0" borderId="19" xfId="0" applyFont="1" applyFill="1" applyBorder="1" applyAlignment="1">
      <alignment horizontal="left" vertical="center" shrinkToFit="1"/>
    </xf>
    <xf numFmtId="0" fontId="23" fillId="0" borderId="22" xfId="0" applyFont="1" applyFill="1" applyBorder="1" applyAlignment="1">
      <alignment horizontal="left" vertical="center" shrinkToFit="1"/>
    </xf>
    <xf numFmtId="0" fontId="23" fillId="0" borderId="23" xfId="0" applyFont="1" applyFill="1" applyBorder="1" applyAlignment="1">
      <alignment horizontal="left" vertical="center" shrinkToFit="1"/>
    </xf>
    <xf numFmtId="0" fontId="24" fillId="0" borderId="20" xfId="0" applyFont="1" applyFill="1" applyBorder="1" applyAlignment="1">
      <alignment horizontal="center" vertical="center" shrinkToFit="1"/>
    </xf>
    <xf numFmtId="0" fontId="24" fillId="0" borderId="24" xfId="0" applyFont="1" applyFill="1" applyBorder="1" applyAlignment="1">
      <alignment horizontal="center" vertical="center" shrinkToFit="1"/>
    </xf>
    <xf numFmtId="0" fontId="25" fillId="40" borderId="20" xfId="0" applyFont="1" applyFill="1" applyBorder="1" applyAlignment="1">
      <alignment horizontal="center" vertical="center" shrinkToFit="1"/>
    </xf>
    <xf numFmtId="0" fontId="25" fillId="40" borderId="24" xfId="0" applyFont="1" applyFill="1" applyBorder="1" applyAlignment="1">
      <alignment horizontal="center" vertical="center" shrinkToFit="1"/>
    </xf>
    <xf numFmtId="0" fontId="25" fillId="38" borderId="20" xfId="0" applyFont="1" applyFill="1" applyBorder="1" applyAlignment="1">
      <alignment horizontal="center" vertical="center" shrinkToFit="1"/>
    </xf>
    <xf numFmtId="0" fontId="25" fillId="38" borderId="24" xfId="0" applyFont="1" applyFill="1" applyBorder="1" applyAlignment="1">
      <alignment horizontal="center" vertical="center" shrinkToFit="1"/>
    </xf>
    <xf numFmtId="0" fontId="26" fillId="0" borderId="17" xfId="0" applyFont="1" applyFill="1" applyBorder="1" applyAlignment="1">
      <alignment horizontal="right" vertical="center" shrinkToFit="1"/>
    </xf>
    <xf numFmtId="0" fontId="26" fillId="0" borderId="21" xfId="0" applyFont="1" applyFill="1" applyBorder="1" applyAlignment="1">
      <alignment horizontal="right" vertical="center" shrinkToFit="1"/>
    </xf>
    <xf numFmtId="0" fontId="25" fillId="39" borderId="20" xfId="0" applyFont="1" applyFill="1" applyBorder="1" applyAlignment="1">
      <alignment horizontal="center" vertical="center" shrinkToFit="1"/>
    </xf>
    <xf numFmtId="0" fontId="25" fillId="39" borderId="24" xfId="0" applyFont="1" applyFill="1" applyBorder="1" applyAlignment="1">
      <alignment horizontal="center" vertical="center" shrinkToFit="1"/>
    </xf>
    <xf numFmtId="0" fontId="24" fillId="33" borderId="20" xfId="0" applyFont="1" applyFill="1" applyBorder="1" applyAlignment="1">
      <alignment horizontal="center" vertical="center" shrinkToFit="1"/>
    </xf>
    <xf numFmtId="0" fontId="24" fillId="33" borderId="24" xfId="0" applyFont="1" applyFill="1" applyBorder="1" applyAlignment="1">
      <alignment horizontal="center" vertical="center" shrinkToFit="1"/>
    </xf>
    <xf numFmtId="0" fontId="25" fillId="33" borderId="20" xfId="0" applyFont="1" applyFill="1" applyBorder="1" applyAlignment="1">
      <alignment horizontal="center" vertical="center" shrinkToFit="1"/>
    </xf>
    <xf numFmtId="0" fontId="25" fillId="33" borderId="24" xfId="0" applyFont="1" applyFill="1" applyBorder="1" applyAlignment="1">
      <alignment horizontal="center" vertical="center" shrinkToFit="1"/>
    </xf>
    <xf numFmtId="0" fontId="25" fillId="35" borderId="20" xfId="0" applyFont="1" applyFill="1" applyBorder="1" applyAlignment="1">
      <alignment horizontal="center" vertical="center" shrinkToFit="1"/>
    </xf>
    <xf numFmtId="0" fontId="25" fillId="35" borderId="24" xfId="0" applyFont="1" applyFill="1" applyBorder="1" applyAlignment="1">
      <alignment horizontal="center" vertical="center" shrinkToFit="1"/>
    </xf>
    <xf numFmtId="0" fontId="25" fillId="36" borderId="20" xfId="0" applyFont="1" applyFill="1" applyBorder="1" applyAlignment="1">
      <alignment horizontal="center" vertical="center" shrinkToFit="1"/>
    </xf>
    <xf numFmtId="0" fontId="25" fillId="36" borderId="24" xfId="0" applyFont="1" applyFill="1" applyBorder="1" applyAlignment="1">
      <alignment horizontal="center" vertical="center" shrinkToFit="1"/>
    </xf>
    <xf numFmtId="0" fontId="25" fillId="34" borderId="20" xfId="0" applyFont="1" applyFill="1" applyBorder="1" applyAlignment="1">
      <alignment horizontal="center" vertical="center" shrinkToFit="1"/>
    </xf>
    <xf numFmtId="0" fontId="25" fillId="34" borderId="24" xfId="0" applyFont="1" applyFill="1" applyBorder="1" applyAlignment="1">
      <alignment horizontal="center" vertical="center" shrinkToFit="1"/>
    </xf>
    <xf numFmtId="0" fontId="17" fillId="33" borderId="0" xfId="0" applyFont="1" applyFill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1" fillId="34" borderId="14" xfId="0" applyFont="1" applyFill="1" applyBorder="1" applyAlignment="1">
      <alignment horizontal="center" vertical="center"/>
    </xf>
    <xf numFmtId="0" fontId="21" fillId="34" borderId="15" xfId="0" applyFont="1" applyFill="1" applyBorder="1" applyAlignment="1">
      <alignment horizontal="center" vertical="center"/>
    </xf>
    <xf numFmtId="0" fontId="21" fillId="35" borderId="13" xfId="0" applyFont="1" applyFill="1" applyBorder="1" applyAlignment="1">
      <alignment horizontal="center" vertical="center"/>
    </xf>
    <xf numFmtId="0" fontId="21" fillId="35" borderId="14" xfId="0" applyFont="1" applyFill="1" applyBorder="1" applyAlignment="1">
      <alignment horizontal="center" vertical="center"/>
    </xf>
    <xf numFmtId="0" fontId="21" fillId="35" borderId="15" xfId="0" applyFont="1" applyFill="1" applyBorder="1" applyAlignment="1">
      <alignment horizontal="center" vertical="center"/>
    </xf>
    <xf numFmtId="0" fontId="21" fillId="36" borderId="13" xfId="0" applyFont="1" applyFill="1" applyBorder="1" applyAlignment="1">
      <alignment horizontal="center" vertical="center"/>
    </xf>
    <xf numFmtId="0" fontId="21" fillId="36" borderId="14" xfId="0" applyFont="1" applyFill="1" applyBorder="1" applyAlignment="1">
      <alignment horizontal="center" vertical="center"/>
    </xf>
    <xf numFmtId="0" fontId="21" fillId="36" borderId="15" xfId="0" applyFont="1" applyFill="1" applyBorder="1" applyAlignment="1">
      <alignment horizontal="center" vertical="center"/>
    </xf>
    <xf numFmtId="0" fontId="21" fillId="37" borderId="13" xfId="0" applyFont="1" applyFill="1" applyBorder="1" applyAlignment="1">
      <alignment horizontal="center" vertical="center"/>
    </xf>
    <xf numFmtId="0" fontId="21" fillId="37" borderId="14" xfId="0" applyFont="1" applyFill="1" applyBorder="1" applyAlignment="1">
      <alignment horizontal="center" vertical="center"/>
    </xf>
    <xf numFmtId="0" fontId="21" fillId="37" borderId="15" xfId="0" applyFont="1" applyFill="1" applyBorder="1" applyAlignment="1">
      <alignment horizontal="center" vertical="center"/>
    </xf>
    <xf numFmtId="0" fontId="21" fillId="38" borderId="13" xfId="0" applyFont="1" applyFill="1" applyBorder="1" applyAlignment="1">
      <alignment horizontal="center" vertical="center"/>
    </xf>
    <xf numFmtId="0" fontId="21" fillId="38" borderId="14" xfId="0" applyFont="1" applyFill="1" applyBorder="1" applyAlignment="1">
      <alignment horizontal="center" vertical="center"/>
    </xf>
    <xf numFmtId="0" fontId="21" fillId="38" borderId="15" xfId="0" applyFont="1" applyFill="1" applyBorder="1" applyAlignment="1">
      <alignment horizontal="center" vertical="center"/>
    </xf>
    <xf numFmtId="0" fontId="21" fillId="39" borderId="13" xfId="0" applyFont="1" applyFill="1" applyBorder="1" applyAlignment="1">
      <alignment horizontal="center" vertical="center"/>
    </xf>
    <xf numFmtId="0" fontId="21" fillId="39" borderId="14" xfId="0" applyFont="1" applyFill="1" applyBorder="1" applyAlignment="1">
      <alignment horizontal="center" vertical="center"/>
    </xf>
    <xf numFmtId="0" fontId="21" fillId="39" borderId="15" xfId="0" applyFont="1" applyFill="1" applyBorder="1" applyAlignment="1">
      <alignment horizontal="center" vertical="center"/>
    </xf>
    <xf numFmtId="0" fontId="21" fillId="40" borderId="13" xfId="0" applyFont="1" applyFill="1" applyBorder="1" applyAlignment="1">
      <alignment horizontal="center" vertical="center"/>
    </xf>
    <xf numFmtId="0" fontId="21" fillId="40" borderId="14" xfId="0" applyFont="1" applyFill="1" applyBorder="1" applyAlignment="1">
      <alignment horizontal="center" vertical="center"/>
    </xf>
    <xf numFmtId="0" fontId="21" fillId="40" borderId="15" xfId="0" applyFont="1" applyFill="1" applyBorder="1" applyAlignment="1">
      <alignment horizontal="center" vertical="center"/>
    </xf>
    <xf numFmtId="0" fontId="25" fillId="37" borderId="20" xfId="0" applyFont="1" applyFill="1" applyBorder="1" applyAlignment="1">
      <alignment horizontal="center" vertical="center" shrinkToFit="1"/>
    </xf>
    <xf numFmtId="0" fontId="25" fillId="37" borderId="24" xfId="0" applyFont="1" applyFill="1" applyBorder="1" applyAlignment="1">
      <alignment horizontal="center" vertical="center" shrinkToFit="1"/>
    </xf>
    <xf numFmtId="0" fontId="71" fillId="33" borderId="0" xfId="0" applyFont="1" applyFill="1" applyAlignment="1">
      <alignment horizontal="center" vertical="center"/>
    </xf>
    <xf numFmtId="0" fontId="23" fillId="0" borderId="17" xfId="0" applyFont="1" applyFill="1" applyBorder="1" applyAlignment="1">
      <alignment horizontal="center" vertical="center" shrinkToFit="1"/>
    </xf>
    <xf numFmtId="0" fontId="23" fillId="0" borderId="18" xfId="0" applyFont="1" applyFill="1" applyBorder="1" applyAlignment="1">
      <alignment horizontal="center" vertical="center" shrinkToFit="1"/>
    </xf>
    <xf numFmtId="0" fontId="23" fillId="0" borderId="19" xfId="0" applyFont="1" applyFill="1" applyBorder="1" applyAlignment="1">
      <alignment horizontal="center" vertical="center" shrinkToFit="1"/>
    </xf>
    <xf numFmtId="0" fontId="23" fillId="0" borderId="21" xfId="0" applyFont="1" applyFill="1" applyBorder="1" applyAlignment="1">
      <alignment horizontal="center" vertical="center" shrinkToFit="1"/>
    </xf>
    <xf numFmtId="0" fontId="23" fillId="0" borderId="22" xfId="0" applyFont="1" applyFill="1" applyBorder="1" applyAlignment="1">
      <alignment horizontal="center" vertical="center" shrinkToFit="1"/>
    </xf>
    <xf numFmtId="0" fontId="23" fillId="0" borderId="23" xfId="0" applyFont="1" applyFill="1" applyBorder="1" applyAlignment="1">
      <alignment horizontal="center" vertical="center" shrinkToFit="1"/>
    </xf>
    <xf numFmtId="0" fontId="68" fillId="40" borderId="20" xfId="0" applyFont="1" applyFill="1" applyBorder="1" applyAlignment="1">
      <alignment horizontal="center" vertical="center" shrinkToFit="1"/>
    </xf>
    <xf numFmtId="0" fontId="68" fillId="40" borderId="24" xfId="0" applyFont="1" applyFill="1" applyBorder="1" applyAlignment="1">
      <alignment horizontal="center" vertical="center" shrinkToFit="1"/>
    </xf>
    <xf numFmtId="0" fontId="70" fillId="39" borderId="20" xfId="0" applyFont="1" applyFill="1" applyBorder="1" applyAlignment="1">
      <alignment horizontal="center" vertical="center" shrinkToFit="1"/>
    </xf>
    <xf numFmtId="0" fontId="70" fillId="39" borderId="24" xfId="0" applyFont="1" applyFill="1" applyBorder="1" applyAlignment="1">
      <alignment horizontal="center" vertical="center" shrinkToFit="1"/>
    </xf>
  </cellXfs>
  <cellStyles count="459">
    <cellStyle name="20% - 강조색1 10" xfId="2"/>
    <cellStyle name="20% - 강조색1 2" xfId="3"/>
    <cellStyle name="20% - 강조색1 3" xfId="4"/>
    <cellStyle name="20% - 강조색1 4" xfId="5"/>
    <cellStyle name="20% - 강조색1 5" xfId="6"/>
    <cellStyle name="20% - 강조색1 6" xfId="7"/>
    <cellStyle name="20% - 강조색1 7" xfId="8"/>
    <cellStyle name="20% - 강조색1 8" xfId="9"/>
    <cellStyle name="20% - 강조색1 9" xfId="10"/>
    <cellStyle name="20% - 강조색2 10" xfId="11"/>
    <cellStyle name="20% - 강조색2 2" xfId="12"/>
    <cellStyle name="20% - 강조색2 3" xfId="13"/>
    <cellStyle name="20% - 강조색2 4" xfId="14"/>
    <cellStyle name="20% - 강조색2 5" xfId="15"/>
    <cellStyle name="20% - 강조색2 6" xfId="16"/>
    <cellStyle name="20% - 강조색2 7" xfId="17"/>
    <cellStyle name="20% - 강조색2 8" xfId="18"/>
    <cellStyle name="20% - 강조색2 9" xfId="19"/>
    <cellStyle name="20% - 강조색3 10" xfId="20"/>
    <cellStyle name="20% - 강조색3 2" xfId="21"/>
    <cellStyle name="20% - 강조색3 3" xfId="22"/>
    <cellStyle name="20% - 강조색3 4" xfId="23"/>
    <cellStyle name="20% - 강조색3 5" xfId="24"/>
    <cellStyle name="20% - 강조색3 6" xfId="25"/>
    <cellStyle name="20% - 강조색3 7" xfId="26"/>
    <cellStyle name="20% - 강조색3 8" xfId="27"/>
    <cellStyle name="20% - 강조색3 9" xfId="28"/>
    <cellStyle name="20% - 강조색4 10" xfId="29"/>
    <cellStyle name="20% - 강조색4 2" xfId="30"/>
    <cellStyle name="20% - 강조색4 3" xfId="31"/>
    <cellStyle name="20% - 강조색4 4" xfId="32"/>
    <cellStyle name="20% - 강조색4 5" xfId="33"/>
    <cellStyle name="20% - 강조색4 6" xfId="34"/>
    <cellStyle name="20% - 강조색4 7" xfId="35"/>
    <cellStyle name="20% - 강조색4 8" xfId="36"/>
    <cellStyle name="20% - 강조색4 9" xfId="37"/>
    <cellStyle name="20% - 강조색5 10" xfId="38"/>
    <cellStyle name="20% - 강조색5 2" xfId="39"/>
    <cellStyle name="20% - 강조색5 3" xfId="40"/>
    <cellStyle name="20% - 강조색5 4" xfId="41"/>
    <cellStyle name="20% - 강조색5 5" xfId="42"/>
    <cellStyle name="20% - 강조색5 6" xfId="43"/>
    <cellStyle name="20% - 강조색5 7" xfId="44"/>
    <cellStyle name="20% - 강조색5 8" xfId="45"/>
    <cellStyle name="20% - 강조색5 9" xfId="46"/>
    <cellStyle name="20% - 강조색6 10" xfId="47"/>
    <cellStyle name="20% - 강조색6 2" xfId="48"/>
    <cellStyle name="20% - 강조색6 3" xfId="49"/>
    <cellStyle name="20% - 강조색6 4" xfId="50"/>
    <cellStyle name="20% - 강조색6 5" xfId="51"/>
    <cellStyle name="20% - 강조색6 6" xfId="52"/>
    <cellStyle name="20% - 강조색6 7" xfId="53"/>
    <cellStyle name="20% - 강조색6 8" xfId="54"/>
    <cellStyle name="20% - 강조색6 9" xfId="55"/>
    <cellStyle name="40% - 강조색1 10" xfId="56"/>
    <cellStyle name="40% - 강조색1 2" xfId="57"/>
    <cellStyle name="40% - 강조색1 3" xfId="58"/>
    <cellStyle name="40% - 강조색1 4" xfId="59"/>
    <cellStyle name="40% - 강조색1 5" xfId="60"/>
    <cellStyle name="40% - 강조색1 6" xfId="61"/>
    <cellStyle name="40% - 강조색1 7" xfId="62"/>
    <cellStyle name="40% - 강조색1 8" xfId="63"/>
    <cellStyle name="40% - 강조색1 9" xfId="64"/>
    <cellStyle name="40% - 강조색2 10" xfId="65"/>
    <cellStyle name="40% - 강조색2 2" xfId="66"/>
    <cellStyle name="40% - 강조색2 3" xfId="67"/>
    <cellStyle name="40% - 강조색2 4" xfId="68"/>
    <cellStyle name="40% - 강조색2 5" xfId="69"/>
    <cellStyle name="40% - 강조색2 6" xfId="70"/>
    <cellStyle name="40% - 강조색2 7" xfId="71"/>
    <cellStyle name="40% - 강조색2 8" xfId="72"/>
    <cellStyle name="40% - 강조색2 9" xfId="73"/>
    <cellStyle name="40% - 강조색3 10" xfId="74"/>
    <cellStyle name="40% - 강조색3 2" xfId="75"/>
    <cellStyle name="40% - 강조색3 3" xfId="76"/>
    <cellStyle name="40% - 강조색3 4" xfId="77"/>
    <cellStyle name="40% - 강조색3 5" xfId="78"/>
    <cellStyle name="40% - 강조색3 6" xfId="79"/>
    <cellStyle name="40% - 강조색3 7" xfId="80"/>
    <cellStyle name="40% - 강조색3 8" xfId="81"/>
    <cellStyle name="40% - 강조색3 9" xfId="82"/>
    <cellStyle name="40% - 강조색4 10" xfId="83"/>
    <cellStyle name="40% - 강조색4 2" xfId="84"/>
    <cellStyle name="40% - 강조색4 3" xfId="85"/>
    <cellStyle name="40% - 강조색4 4" xfId="86"/>
    <cellStyle name="40% - 강조색4 5" xfId="87"/>
    <cellStyle name="40% - 강조색4 6" xfId="88"/>
    <cellStyle name="40% - 강조색4 7" xfId="89"/>
    <cellStyle name="40% - 강조색4 8" xfId="90"/>
    <cellStyle name="40% - 강조색4 9" xfId="91"/>
    <cellStyle name="40% - 강조색5 10" xfId="92"/>
    <cellStyle name="40% - 강조색5 2" xfId="93"/>
    <cellStyle name="40% - 강조색5 3" xfId="94"/>
    <cellStyle name="40% - 강조색5 4" xfId="95"/>
    <cellStyle name="40% - 강조색5 5" xfId="96"/>
    <cellStyle name="40% - 강조색5 6" xfId="97"/>
    <cellStyle name="40% - 강조색5 7" xfId="98"/>
    <cellStyle name="40% - 강조색5 8" xfId="99"/>
    <cellStyle name="40% - 강조색5 9" xfId="100"/>
    <cellStyle name="40% - 강조색6 10" xfId="101"/>
    <cellStyle name="40% - 강조색6 2" xfId="102"/>
    <cellStyle name="40% - 강조색6 3" xfId="103"/>
    <cellStyle name="40% - 강조색6 4" xfId="104"/>
    <cellStyle name="40% - 강조색6 5" xfId="105"/>
    <cellStyle name="40% - 강조색6 6" xfId="106"/>
    <cellStyle name="40% - 강조색6 7" xfId="107"/>
    <cellStyle name="40% - 강조색6 8" xfId="108"/>
    <cellStyle name="40% - 강조색6 9" xfId="109"/>
    <cellStyle name="60% - 강조색1 10" xfId="110"/>
    <cellStyle name="60% - 강조색1 2" xfId="111"/>
    <cellStyle name="60% - 강조색1 3" xfId="112"/>
    <cellStyle name="60% - 강조색1 4" xfId="113"/>
    <cellStyle name="60% - 강조색1 5" xfId="114"/>
    <cellStyle name="60% - 강조색1 6" xfId="115"/>
    <cellStyle name="60% - 강조색1 7" xfId="116"/>
    <cellStyle name="60% - 강조색1 8" xfId="117"/>
    <cellStyle name="60% - 강조색1 9" xfId="118"/>
    <cellStyle name="60% - 강조색2 10" xfId="119"/>
    <cellStyle name="60% - 강조색2 2" xfId="120"/>
    <cellStyle name="60% - 강조색2 3" xfId="121"/>
    <cellStyle name="60% - 강조색2 4" xfId="122"/>
    <cellStyle name="60% - 강조색2 5" xfId="123"/>
    <cellStyle name="60% - 강조색2 6" xfId="124"/>
    <cellStyle name="60% - 강조색2 7" xfId="125"/>
    <cellStyle name="60% - 강조색2 8" xfId="126"/>
    <cellStyle name="60% - 강조색2 9" xfId="127"/>
    <cellStyle name="60% - 강조색3 10" xfId="128"/>
    <cellStyle name="60% - 강조색3 2" xfId="129"/>
    <cellStyle name="60% - 강조색3 3" xfId="130"/>
    <cellStyle name="60% - 강조색3 4" xfId="131"/>
    <cellStyle name="60% - 강조색3 5" xfId="132"/>
    <cellStyle name="60% - 강조색3 6" xfId="133"/>
    <cellStyle name="60% - 강조색3 7" xfId="134"/>
    <cellStyle name="60% - 강조색3 8" xfId="135"/>
    <cellStyle name="60% - 강조색3 9" xfId="136"/>
    <cellStyle name="60% - 강조색4 10" xfId="137"/>
    <cellStyle name="60% - 강조색4 2" xfId="138"/>
    <cellStyle name="60% - 강조색4 3" xfId="139"/>
    <cellStyle name="60% - 강조색4 4" xfId="140"/>
    <cellStyle name="60% - 강조색4 5" xfId="141"/>
    <cellStyle name="60% - 강조색4 6" xfId="142"/>
    <cellStyle name="60% - 강조색4 7" xfId="143"/>
    <cellStyle name="60% - 강조색4 8" xfId="144"/>
    <cellStyle name="60% - 강조색4 9" xfId="145"/>
    <cellStyle name="60% - 강조색5 10" xfId="146"/>
    <cellStyle name="60% - 강조색5 2" xfId="147"/>
    <cellStyle name="60% - 강조색5 3" xfId="148"/>
    <cellStyle name="60% - 강조색5 4" xfId="149"/>
    <cellStyle name="60% - 강조색5 5" xfId="150"/>
    <cellStyle name="60% - 강조색5 6" xfId="151"/>
    <cellStyle name="60% - 강조색5 7" xfId="152"/>
    <cellStyle name="60% - 강조색5 8" xfId="153"/>
    <cellStyle name="60% - 강조색5 9" xfId="154"/>
    <cellStyle name="60% - 강조색6 10" xfId="155"/>
    <cellStyle name="60% - 강조색6 2" xfId="156"/>
    <cellStyle name="60% - 강조색6 3" xfId="157"/>
    <cellStyle name="60% - 강조색6 4" xfId="158"/>
    <cellStyle name="60% - 강조색6 5" xfId="159"/>
    <cellStyle name="60% - 강조색6 6" xfId="160"/>
    <cellStyle name="60% - 강조색6 7" xfId="161"/>
    <cellStyle name="60% - 강조색6 8" xfId="162"/>
    <cellStyle name="60% - 강조색6 9" xfId="163"/>
    <cellStyle name="강조색1 10" xfId="164"/>
    <cellStyle name="강조색1 2" xfId="165"/>
    <cellStyle name="강조색1 3" xfId="166"/>
    <cellStyle name="강조색1 4" xfId="167"/>
    <cellStyle name="강조색1 5" xfId="168"/>
    <cellStyle name="강조색1 6" xfId="169"/>
    <cellStyle name="강조색1 7" xfId="170"/>
    <cellStyle name="강조색1 8" xfId="171"/>
    <cellStyle name="강조색1 9" xfId="172"/>
    <cellStyle name="강조색2 10" xfId="173"/>
    <cellStyle name="강조색2 2" xfId="174"/>
    <cellStyle name="강조색2 3" xfId="175"/>
    <cellStyle name="강조색2 4" xfId="176"/>
    <cellStyle name="강조색2 5" xfId="177"/>
    <cellStyle name="강조색2 6" xfId="178"/>
    <cellStyle name="강조색2 7" xfId="179"/>
    <cellStyle name="강조색2 8" xfId="180"/>
    <cellStyle name="강조색2 9" xfId="181"/>
    <cellStyle name="강조색3 10" xfId="182"/>
    <cellStyle name="강조색3 2" xfId="183"/>
    <cellStyle name="강조색3 3" xfId="184"/>
    <cellStyle name="강조색3 4" xfId="185"/>
    <cellStyle name="강조색3 5" xfId="186"/>
    <cellStyle name="강조색3 6" xfId="187"/>
    <cellStyle name="강조색3 7" xfId="188"/>
    <cellStyle name="강조색3 8" xfId="189"/>
    <cellStyle name="강조색3 9" xfId="190"/>
    <cellStyle name="강조색4 10" xfId="191"/>
    <cellStyle name="강조색4 2" xfId="192"/>
    <cellStyle name="강조색4 3" xfId="193"/>
    <cellStyle name="강조색4 4" xfId="194"/>
    <cellStyle name="강조색4 5" xfId="195"/>
    <cellStyle name="강조색4 6" xfId="196"/>
    <cellStyle name="강조색4 7" xfId="197"/>
    <cellStyle name="강조색4 8" xfId="198"/>
    <cellStyle name="강조색4 9" xfId="199"/>
    <cellStyle name="강조색5 10" xfId="200"/>
    <cellStyle name="강조색5 2" xfId="201"/>
    <cellStyle name="강조색5 3" xfId="202"/>
    <cellStyle name="강조색5 4" xfId="203"/>
    <cellStyle name="강조색5 5" xfId="204"/>
    <cellStyle name="강조색5 6" xfId="205"/>
    <cellStyle name="강조색5 7" xfId="206"/>
    <cellStyle name="강조색5 8" xfId="207"/>
    <cellStyle name="강조색5 9" xfId="208"/>
    <cellStyle name="강조색6 10" xfId="209"/>
    <cellStyle name="강조색6 2" xfId="210"/>
    <cellStyle name="강조색6 3" xfId="211"/>
    <cellStyle name="강조색6 4" xfId="212"/>
    <cellStyle name="강조색6 5" xfId="213"/>
    <cellStyle name="강조색6 6" xfId="214"/>
    <cellStyle name="강조색6 7" xfId="215"/>
    <cellStyle name="강조색6 8" xfId="216"/>
    <cellStyle name="강조색6 9" xfId="217"/>
    <cellStyle name="경고문 10" xfId="218"/>
    <cellStyle name="경고문 2" xfId="219"/>
    <cellStyle name="경고문 3" xfId="220"/>
    <cellStyle name="경고문 4" xfId="221"/>
    <cellStyle name="경고문 5" xfId="222"/>
    <cellStyle name="경고문 6" xfId="223"/>
    <cellStyle name="경고문 7" xfId="224"/>
    <cellStyle name="경고문 8" xfId="225"/>
    <cellStyle name="경고문 9" xfId="226"/>
    <cellStyle name="계산 10" xfId="227"/>
    <cellStyle name="계산 2" xfId="228"/>
    <cellStyle name="계산 3" xfId="229"/>
    <cellStyle name="계산 4" xfId="230"/>
    <cellStyle name="계산 5" xfId="231"/>
    <cellStyle name="계산 6" xfId="232"/>
    <cellStyle name="계산 7" xfId="233"/>
    <cellStyle name="계산 8" xfId="234"/>
    <cellStyle name="계산 9" xfId="235"/>
    <cellStyle name="나쁨 10" xfId="236"/>
    <cellStyle name="나쁨 2" xfId="237"/>
    <cellStyle name="나쁨 3" xfId="238"/>
    <cellStyle name="나쁨 4" xfId="239"/>
    <cellStyle name="나쁨 5" xfId="240"/>
    <cellStyle name="나쁨 6" xfId="241"/>
    <cellStyle name="나쁨 7" xfId="242"/>
    <cellStyle name="나쁨 8" xfId="243"/>
    <cellStyle name="나쁨 9" xfId="244"/>
    <cellStyle name="메모 10" xfId="245"/>
    <cellStyle name="메모 2" xfId="246"/>
    <cellStyle name="메모 3" xfId="247"/>
    <cellStyle name="메모 4" xfId="248"/>
    <cellStyle name="메모 5" xfId="249"/>
    <cellStyle name="메모 6" xfId="250"/>
    <cellStyle name="메모 7" xfId="251"/>
    <cellStyle name="메모 8" xfId="252"/>
    <cellStyle name="메모 9" xfId="253"/>
    <cellStyle name="백분율 2" xfId="254"/>
    <cellStyle name="백분율 2 2" xfId="255"/>
    <cellStyle name="백분율 2 2 2" xfId="256"/>
    <cellStyle name="백분율 2 3" xfId="257"/>
    <cellStyle name="백분율 3" xfId="258"/>
    <cellStyle name="보통 10" xfId="259"/>
    <cellStyle name="보통 2" xfId="260"/>
    <cellStyle name="보통 3" xfId="261"/>
    <cellStyle name="보통 4" xfId="262"/>
    <cellStyle name="보통 5" xfId="263"/>
    <cellStyle name="보통 6" xfId="264"/>
    <cellStyle name="보통 7" xfId="265"/>
    <cellStyle name="보통 8" xfId="266"/>
    <cellStyle name="보통 9" xfId="267"/>
    <cellStyle name="설명 텍스트 10" xfId="268"/>
    <cellStyle name="설명 텍스트 2" xfId="269"/>
    <cellStyle name="설명 텍스트 3" xfId="270"/>
    <cellStyle name="설명 텍스트 4" xfId="271"/>
    <cellStyle name="설명 텍스트 5" xfId="272"/>
    <cellStyle name="설명 텍스트 6" xfId="273"/>
    <cellStyle name="설명 텍스트 7" xfId="274"/>
    <cellStyle name="설명 텍스트 8" xfId="275"/>
    <cellStyle name="설명 텍스트 9" xfId="276"/>
    <cellStyle name="셀 확인 10" xfId="277"/>
    <cellStyle name="셀 확인 2" xfId="278"/>
    <cellStyle name="셀 확인 3" xfId="279"/>
    <cellStyle name="셀 확인 4" xfId="280"/>
    <cellStyle name="셀 확인 5" xfId="281"/>
    <cellStyle name="셀 확인 6" xfId="282"/>
    <cellStyle name="셀 확인 7" xfId="283"/>
    <cellStyle name="셀 확인 8" xfId="284"/>
    <cellStyle name="셀 확인 9" xfId="285"/>
    <cellStyle name="쉼표 [0]" xfId="1" builtinId="6"/>
    <cellStyle name="쉼표 [0] 10" xfId="286"/>
    <cellStyle name="쉼표 [0] 11" xfId="287"/>
    <cellStyle name="쉼표 [0] 11 2" xfId="288"/>
    <cellStyle name="쉼표 [0] 12" xfId="289"/>
    <cellStyle name="쉼표 [0] 13" xfId="290"/>
    <cellStyle name="쉼표 [0] 14" xfId="291"/>
    <cellStyle name="쉼표 [0] 15" xfId="292"/>
    <cellStyle name="쉼표 [0] 16" xfId="293"/>
    <cellStyle name="쉼표 [0] 17" xfId="294"/>
    <cellStyle name="쉼표 [0] 2" xfId="295"/>
    <cellStyle name="쉼표 [0] 2 2" xfId="296"/>
    <cellStyle name="쉼표 [0] 2 2 2" xfId="297"/>
    <cellStyle name="쉼표 [0] 2 2 3" xfId="298"/>
    <cellStyle name="쉼표 [0] 2 3" xfId="299"/>
    <cellStyle name="쉼표 [0] 2 4" xfId="300"/>
    <cellStyle name="쉼표 [0] 2 5" xfId="301"/>
    <cellStyle name="쉼표 [0] 2 5 2" xfId="302"/>
    <cellStyle name="쉼표 [0] 2 5 3" xfId="303"/>
    <cellStyle name="쉼표 [0] 3" xfId="304"/>
    <cellStyle name="쉼표 [0] 3 2" xfId="305"/>
    <cellStyle name="쉼표 [0] 4" xfId="306"/>
    <cellStyle name="쉼표 [0] 4 2" xfId="307"/>
    <cellStyle name="쉼표 [0] 4 2 2" xfId="308"/>
    <cellStyle name="쉼표 [0] 5" xfId="309"/>
    <cellStyle name="쉼표 [0] 6" xfId="310"/>
    <cellStyle name="쉼표 [0] 7" xfId="311"/>
    <cellStyle name="쉼표 [0] 8" xfId="312"/>
    <cellStyle name="쉼표 [0] 9" xfId="313"/>
    <cellStyle name="연결된 셀 10" xfId="314"/>
    <cellStyle name="연결된 셀 2" xfId="315"/>
    <cellStyle name="연결된 셀 3" xfId="316"/>
    <cellStyle name="연결된 셀 4" xfId="317"/>
    <cellStyle name="연결된 셀 5" xfId="318"/>
    <cellStyle name="연결된 셀 6" xfId="319"/>
    <cellStyle name="연결된 셀 7" xfId="320"/>
    <cellStyle name="연결된 셀 8" xfId="321"/>
    <cellStyle name="연결된 셀 9" xfId="322"/>
    <cellStyle name="요약 10" xfId="323"/>
    <cellStyle name="요약 2" xfId="324"/>
    <cellStyle name="요약 3" xfId="325"/>
    <cellStyle name="요약 4" xfId="326"/>
    <cellStyle name="요약 5" xfId="327"/>
    <cellStyle name="요약 6" xfId="328"/>
    <cellStyle name="요약 7" xfId="329"/>
    <cellStyle name="요약 8" xfId="330"/>
    <cellStyle name="요약 9" xfId="331"/>
    <cellStyle name="입력 10" xfId="332"/>
    <cellStyle name="입력 2" xfId="333"/>
    <cellStyle name="입력 3" xfId="334"/>
    <cellStyle name="입력 4" xfId="335"/>
    <cellStyle name="입력 5" xfId="336"/>
    <cellStyle name="입력 6" xfId="337"/>
    <cellStyle name="입력 7" xfId="338"/>
    <cellStyle name="입력 8" xfId="339"/>
    <cellStyle name="입력 9" xfId="340"/>
    <cellStyle name="제목 1 10" xfId="341"/>
    <cellStyle name="제목 1 2" xfId="342"/>
    <cellStyle name="제목 1 3" xfId="343"/>
    <cellStyle name="제목 1 4" xfId="344"/>
    <cellStyle name="제목 1 5" xfId="345"/>
    <cellStyle name="제목 1 6" xfId="346"/>
    <cellStyle name="제목 1 7" xfId="347"/>
    <cellStyle name="제목 1 8" xfId="348"/>
    <cellStyle name="제목 1 9" xfId="349"/>
    <cellStyle name="제목 10" xfId="350"/>
    <cellStyle name="제목 11" xfId="351"/>
    <cellStyle name="제목 12" xfId="352"/>
    <cellStyle name="제목 13" xfId="353"/>
    <cellStyle name="제목 2 10" xfId="354"/>
    <cellStyle name="제목 2 2" xfId="355"/>
    <cellStyle name="제목 2 3" xfId="356"/>
    <cellStyle name="제목 2 4" xfId="357"/>
    <cellStyle name="제목 2 5" xfId="358"/>
    <cellStyle name="제목 2 6" xfId="359"/>
    <cellStyle name="제목 2 7" xfId="360"/>
    <cellStyle name="제목 2 8" xfId="361"/>
    <cellStyle name="제목 2 9" xfId="362"/>
    <cellStyle name="제목 3 10" xfId="363"/>
    <cellStyle name="제목 3 2" xfId="364"/>
    <cellStyle name="제목 3 3" xfId="365"/>
    <cellStyle name="제목 3 4" xfId="366"/>
    <cellStyle name="제목 3 5" xfId="367"/>
    <cellStyle name="제목 3 6" xfId="368"/>
    <cellStyle name="제목 3 7" xfId="369"/>
    <cellStyle name="제목 3 8" xfId="370"/>
    <cellStyle name="제목 3 9" xfId="371"/>
    <cellStyle name="제목 4 10" xfId="372"/>
    <cellStyle name="제목 4 2" xfId="373"/>
    <cellStyle name="제목 4 3" xfId="374"/>
    <cellStyle name="제목 4 4" xfId="375"/>
    <cellStyle name="제목 4 5" xfId="376"/>
    <cellStyle name="제목 4 6" xfId="377"/>
    <cellStyle name="제목 4 7" xfId="378"/>
    <cellStyle name="제목 4 8" xfId="379"/>
    <cellStyle name="제목 4 9" xfId="380"/>
    <cellStyle name="제목 5" xfId="381"/>
    <cellStyle name="제목 6" xfId="382"/>
    <cellStyle name="제목 7" xfId="383"/>
    <cellStyle name="제목 8" xfId="384"/>
    <cellStyle name="제목 9" xfId="385"/>
    <cellStyle name="좋음 10" xfId="386"/>
    <cellStyle name="좋음 2" xfId="387"/>
    <cellStyle name="좋음 3" xfId="388"/>
    <cellStyle name="좋음 4" xfId="389"/>
    <cellStyle name="좋음 5" xfId="390"/>
    <cellStyle name="좋음 6" xfId="391"/>
    <cellStyle name="좋음 7" xfId="392"/>
    <cellStyle name="좋음 8" xfId="393"/>
    <cellStyle name="좋음 9" xfId="394"/>
    <cellStyle name="출력 10" xfId="395"/>
    <cellStyle name="출력 2" xfId="396"/>
    <cellStyle name="출력 3" xfId="397"/>
    <cellStyle name="출력 4" xfId="398"/>
    <cellStyle name="출력 5" xfId="399"/>
    <cellStyle name="출력 6" xfId="400"/>
    <cellStyle name="출력 7" xfId="401"/>
    <cellStyle name="출력 8" xfId="402"/>
    <cellStyle name="출력 9" xfId="403"/>
    <cellStyle name="표준" xfId="0" builtinId="0"/>
    <cellStyle name="표준 10" xfId="404"/>
    <cellStyle name="표준 11" xfId="405"/>
    <cellStyle name="표준 12" xfId="406"/>
    <cellStyle name="표준 12 2" xfId="407"/>
    <cellStyle name="표준 13" xfId="408"/>
    <cellStyle name="표준 14" xfId="409"/>
    <cellStyle name="표준 15" xfId="410"/>
    <cellStyle name="표준 16" xfId="411"/>
    <cellStyle name="표준 17" xfId="412"/>
    <cellStyle name="표준 18" xfId="413"/>
    <cellStyle name="표준 2" xfId="414"/>
    <cellStyle name="표준 2 2" xfId="415"/>
    <cellStyle name="표준 2 2 2" xfId="416"/>
    <cellStyle name="표준 2 2 2 2" xfId="417"/>
    <cellStyle name="표준 2 2 3" xfId="418"/>
    <cellStyle name="표준 2 2 5" xfId="419"/>
    <cellStyle name="표준 2 2 5 2" xfId="420"/>
    <cellStyle name="표준 2 3" xfId="421"/>
    <cellStyle name="표준 2 3 2" xfId="422"/>
    <cellStyle name="표준 2 3 3" xfId="423"/>
    <cellStyle name="표준 2 4" xfId="424"/>
    <cellStyle name="표준 2 5" xfId="425"/>
    <cellStyle name="표준 2 6" xfId="426"/>
    <cellStyle name="표준 2 7" xfId="427"/>
    <cellStyle name="표준 2 8" xfId="428"/>
    <cellStyle name="표준 2 8 2" xfId="429"/>
    <cellStyle name="표준 3" xfId="430"/>
    <cellStyle name="표준 3 2" xfId="431"/>
    <cellStyle name="표준 3 2 2" xfId="432"/>
    <cellStyle name="표준 3 3" xfId="433"/>
    <cellStyle name="표준 3 4" xfId="434"/>
    <cellStyle name="표준 3 5" xfId="435"/>
    <cellStyle name="표준 3 6" xfId="436"/>
    <cellStyle name="표준 3 7" xfId="437"/>
    <cellStyle name="표준 38" xfId="438"/>
    <cellStyle name="표준 4" xfId="439"/>
    <cellStyle name="표준 4 2" xfId="440"/>
    <cellStyle name="표준 4 3" xfId="441"/>
    <cellStyle name="표준 4 4" xfId="442"/>
    <cellStyle name="표준 4 5" xfId="443"/>
    <cellStyle name="표준 5" xfId="444"/>
    <cellStyle name="표준 6" xfId="445"/>
    <cellStyle name="표준 6 2" xfId="446"/>
    <cellStyle name="표준 6 2 2" xfId="447"/>
    <cellStyle name="표준 6 3" xfId="448"/>
    <cellStyle name="표준 7" xfId="449"/>
    <cellStyle name="표준 7 2" xfId="450"/>
    <cellStyle name="표준 7 3" xfId="451"/>
    <cellStyle name="표준 8" xfId="452"/>
    <cellStyle name="표준 8 2" xfId="453"/>
    <cellStyle name="표준 8 2 2" xfId="454"/>
    <cellStyle name="표준 8 3" xfId="455"/>
    <cellStyle name="표준 8 4" xfId="456"/>
    <cellStyle name="표준 9" xfId="457"/>
    <cellStyle name="하이퍼링크 2" xfId="458"/>
  </cellStyles>
  <dxfs count="0"/>
  <tableStyles count="0" defaultTableStyle="TableStyleMedium2" defaultPivotStyle="PivotStyleLight16"/>
  <colors>
    <mruColors>
      <color rgb="FF66FFFF"/>
      <color rgb="FF0000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19050</xdr:rowOff>
    </xdr:from>
    <xdr:to>
      <xdr:col>13</xdr:col>
      <xdr:colOff>19050</xdr:colOff>
      <xdr:row>64</xdr:row>
      <xdr:rowOff>95250</xdr:rowOff>
    </xdr:to>
    <xdr:sp macro="" textlink="">
      <xdr:nvSpPr>
        <xdr:cNvPr id="2" name="모서리가 둥근 직사각형 1"/>
        <xdr:cNvSpPr/>
      </xdr:nvSpPr>
      <xdr:spPr>
        <a:xfrm>
          <a:off x="2476500" y="5105400"/>
          <a:ext cx="2495550" cy="2505075"/>
        </a:xfrm>
        <a:prstGeom prst="roundRect">
          <a:avLst/>
        </a:prstGeom>
        <a:noFill/>
        <a:ln w="412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19050</xdr:rowOff>
    </xdr:from>
    <xdr:to>
      <xdr:col>13</xdr:col>
      <xdr:colOff>19050</xdr:colOff>
      <xdr:row>64</xdr:row>
      <xdr:rowOff>95250</xdr:rowOff>
    </xdr:to>
    <xdr:sp macro="" textlink="">
      <xdr:nvSpPr>
        <xdr:cNvPr id="3" name="모서리가 둥근 직사각형 2"/>
        <xdr:cNvSpPr/>
      </xdr:nvSpPr>
      <xdr:spPr>
        <a:xfrm>
          <a:off x="2476500" y="5105400"/>
          <a:ext cx="2495550" cy="2505075"/>
        </a:xfrm>
        <a:prstGeom prst="roundRect">
          <a:avLst/>
        </a:prstGeom>
        <a:noFill/>
        <a:ln w="412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SL/Documents/&#45348;&#51060;&#53944;&#50728;%20&#48155;&#51008;%20&#54028;&#51068;/&#50689;&#48120;%2024.7/&#44608;&#50689;&#48120;_&#48372;&#54744;.&#52852;&#46300;_&#44288;&#47532;&#45824;&#5110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4"/>
      <sheetName val="2025"/>
      <sheetName val="2026"/>
      <sheetName val="2027"/>
      <sheetName val="2028"/>
      <sheetName val="2029"/>
      <sheetName val="2030"/>
      <sheetName val="보험.대출"/>
      <sheetName val="주택 관리"/>
      <sheetName val="김영미 카드"/>
      <sheetName val="수입지출 정보"/>
      <sheetName val="월별 수입대장"/>
      <sheetName val="월별 지출대장"/>
      <sheetName val="수입지출 통계"/>
      <sheetName val="Option"/>
      <sheetName val="김영미_보험.카드_관리대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P144"/>
  <sheetViews>
    <sheetView zoomScaleNormal="100" workbookViewId="0">
      <pane ySplit="1" topLeftCell="A33" activePane="bottomLeft" state="frozen"/>
      <selection pane="bottomLeft" sqref="A1:XFD1"/>
    </sheetView>
  </sheetViews>
  <sheetFormatPr defaultRowHeight="17.25" customHeight="1"/>
  <cols>
    <col min="1" max="1" width="1" customWidth="1"/>
    <col min="2" max="2" width="6.625" style="1" customWidth="1"/>
    <col min="3" max="3" width="7" style="2" customWidth="1"/>
    <col min="4" max="4" width="1.625" style="3" customWidth="1"/>
    <col min="5" max="5" width="7" style="2" customWidth="1"/>
    <col min="6" max="6" width="9.25" style="4" customWidth="1"/>
    <col min="7" max="7" width="0.5" customWidth="1"/>
    <col min="8" max="8" width="6.625" style="1" customWidth="1"/>
    <col min="9" max="9" width="7" style="2" customWidth="1"/>
    <col min="10" max="10" width="1.625" style="3" customWidth="1"/>
    <col min="11" max="11" width="7" style="2" customWidth="1"/>
    <col min="12" max="12" width="9.25" style="4" customWidth="1"/>
    <col min="13" max="13" width="0.5" customWidth="1"/>
    <col min="14" max="14" width="6.625" style="1" customWidth="1"/>
    <col min="15" max="15" width="7" style="2" customWidth="1"/>
    <col min="16" max="16" width="1.625" style="3" customWidth="1"/>
    <col min="17" max="17" width="7" style="2" customWidth="1"/>
    <col min="18" max="18" width="9.25" style="4" customWidth="1"/>
    <col min="19" max="19" width="0.5" customWidth="1"/>
    <col min="20" max="20" width="6.625" style="1" customWidth="1"/>
    <col min="21" max="21" width="7" style="2" customWidth="1"/>
    <col min="22" max="22" width="1.625" style="3" customWidth="1"/>
    <col min="23" max="23" width="7" style="2" customWidth="1"/>
    <col min="24" max="24" width="9.25" style="4" customWidth="1"/>
    <col min="25" max="25" width="0.5" customWidth="1"/>
    <col min="26" max="26" width="6.625" style="1" customWidth="1"/>
    <col min="27" max="27" width="7" style="2" customWidth="1"/>
    <col min="28" max="28" width="1.625" style="3" customWidth="1"/>
    <col min="29" max="29" width="7" style="2" customWidth="1"/>
    <col min="30" max="30" width="9.25" style="4" customWidth="1"/>
    <col min="31" max="31" width="0.5" customWidth="1"/>
    <col min="32" max="32" width="6.625" style="1" customWidth="1"/>
    <col min="33" max="33" width="7" style="2" customWidth="1"/>
    <col min="34" max="34" width="1.625" style="3" customWidth="1"/>
    <col min="35" max="35" width="7" style="2" customWidth="1"/>
    <col min="36" max="36" width="9.25" style="4" customWidth="1"/>
    <col min="37" max="37" width="0.5" customWidth="1"/>
    <col min="38" max="38" width="6.625" style="1" customWidth="1"/>
    <col min="39" max="39" width="7" style="2" customWidth="1"/>
    <col min="40" max="40" width="1.625" style="3" customWidth="1"/>
    <col min="41" max="41" width="7" style="2" customWidth="1"/>
    <col min="42" max="42" width="9.25" style="4" customWidth="1"/>
    <col min="43" max="43" width="1.375" customWidth="1"/>
  </cols>
  <sheetData>
    <row r="1" spans="2:42" ht="33" hidden="1" customHeight="1">
      <c r="B1" s="261" t="s">
        <v>138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</row>
    <row r="2" spans="2:42" ht="5.25" customHeight="1" thickBot="1"/>
    <row r="3" spans="2:42" s="21" customFormat="1" ht="17.25" customHeight="1" thickBot="1">
      <c r="B3" s="238" t="s">
        <v>1</v>
      </c>
      <c r="C3" s="239"/>
      <c r="D3" s="239"/>
      <c r="E3" s="240"/>
      <c r="F3" s="20" t="s">
        <v>2</v>
      </c>
      <c r="H3" s="241" t="s">
        <v>3</v>
      </c>
      <c r="I3" s="242"/>
      <c r="J3" s="242"/>
      <c r="K3" s="243"/>
      <c r="L3" s="22" t="s">
        <v>4</v>
      </c>
      <c r="N3" s="244" t="s">
        <v>5</v>
      </c>
      <c r="O3" s="245"/>
      <c r="P3" s="245"/>
      <c r="Q3" s="246"/>
      <c r="R3" s="23" t="s">
        <v>6</v>
      </c>
      <c r="T3" s="247" t="s">
        <v>7</v>
      </c>
      <c r="U3" s="248"/>
      <c r="V3" s="248"/>
      <c r="W3" s="249"/>
      <c r="X3" s="24" t="s">
        <v>8</v>
      </c>
      <c r="Z3" s="250" t="s">
        <v>9</v>
      </c>
      <c r="AA3" s="251"/>
      <c r="AB3" s="251"/>
      <c r="AC3" s="252"/>
      <c r="AD3" s="25" t="s">
        <v>10</v>
      </c>
      <c r="AF3" s="253" t="s">
        <v>141</v>
      </c>
      <c r="AG3" s="254"/>
      <c r="AH3" s="254"/>
      <c r="AI3" s="254"/>
      <c r="AJ3" s="255"/>
      <c r="AL3" s="253" t="s">
        <v>141</v>
      </c>
      <c r="AM3" s="254"/>
      <c r="AN3" s="254"/>
      <c r="AO3" s="254"/>
      <c r="AP3" s="255"/>
    </row>
    <row r="4" spans="2:42" ht="17.25" hidden="1" customHeight="1">
      <c r="B4" s="208"/>
      <c r="C4" s="209"/>
      <c r="D4" s="209"/>
      <c r="E4" s="210"/>
      <c r="F4" s="87"/>
      <c r="H4" s="208"/>
      <c r="I4" s="209"/>
      <c r="J4" s="209"/>
      <c r="K4" s="210"/>
      <c r="L4" s="29"/>
      <c r="N4" s="208"/>
      <c r="O4" s="209"/>
      <c r="P4" s="209"/>
      <c r="Q4" s="210"/>
      <c r="R4" s="30"/>
      <c r="T4" s="208"/>
      <c r="U4" s="209"/>
      <c r="V4" s="209"/>
      <c r="W4" s="210"/>
      <c r="X4" s="31"/>
      <c r="Z4" s="208"/>
      <c r="AA4" s="209"/>
      <c r="AB4" s="209"/>
      <c r="AC4" s="210"/>
      <c r="AD4" s="32"/>
      <c r="AF4" s="208"/>
      <c r="AG4" s="209"/>
      <c r="AH4" s="209"/>
      <c r="AI4" s="209"/>
      <c r="AJ4" s="210"/>
      <c r="AL4" s="208"/>
      <c r="AM4" s="209"/>
      <c r="AN4" s="209"/>
      <c r="AO4" s="209"/>
      <c r="AP4" s="210"/>
    </row>
    <row r="5" spans="2:42" ht="17.25" customHeight="1">
      <c r="B5" s="91"/>
      <c r="C5" s="202" t="s">
        <v>55</v>
      </c>
      <c r="D5" s="203"/>
      <c r="E5" s="204"/>
      <c r="F5" s="151">
        <v>300</v>
      </c>
      <c r="H5" s="91"/>
      <c r="I5" s="202" t="s">
        <v>65</v>
      </c>
      <c r="J5" s="203"/>
      <c r="K5" s="204"/>
      <c r="L5" s="95">
        <v>118</v>
      </c>
      <c r="N5" s="91"/>
      <c r="O5" s="202" t="s">
        <v>68</v>
      </c>
      <c r="P5" s="203"/>
      <c r="Q5" s="204"/>
      <c r="R5" s="99">
        <v>118</v>
      </c>
      <c r="T5" s="123"/>
      <c r="U5" s="199" t="s">
        <v>81</v>
      </c>
      <c r="V5" s="200"/>
      <c r="W5" s="201"/>
      <c r="X5" s="126">
        <v>6900</v>
      </c>
      <c r="Z5" s="123"/>
      <c r="AA5" s="199" t="s">
        <v>56</v>
      </c>
      <c r="AB5" s="200"/>
      <c r="AC5" s="201"/>
      <c r="AD5" s="125">
        <v>28200</v>
      </c>
      <c r="AF5" s="123"/>
      <c r="AG5" s="175" t="s">
        <v>66</v>
      </c>
      <c r="AH5" s="176"/>
      <c r="AI5" s="177"/>
      <c r="AJ5" s="124">
        <v>200000</v>
      </c>
      <c r="AL5" s="60"/>
      <c r="AM5" s="162"/>
      <c r="AN5" s="163"/>
      <c r="AO5" s="164"/>
      <c r="AP5" s="107"/>
    </row>
    <row r="6" spans="2:42" ht="17.25" customHeight="1" thickBot="1">
      <c r="B6" s="149"/>
      <c r="C6" s="205" t="s">
        <v>56</v>
      </c>
      <c r="D6" s="206"/>
      <c r="E6" s="207"/>
      <c r="F6" s="150">
        <v>28200</v>
      </c>
      <c r="H6" s="128"/>
      <c r="I6" s="190" t="s">
        <v>70</v>
      </c>
      <c r="J6" s="191"/>
      <c r="K6" s="192"/>
      <c r="L6" s="142">
        <v>10</v>
      </c>
      <c r="N6" s="46"/>
      <c r="O6" s="162" t="s">
        <v>69</v>
      </c>
      <c r="P6" s="163"/>
      <c r="Q6" s="164"/>
      <c r="R6" s="100">
        <v>10</v>
      </c>
      <c r="T6" s="128"/>
      <c r="U6" s="190" t="s">
        <v>57</v>
      </c>
      <c r="V6" s="191"/>
      <c r="W6" s="192"/>
      <c r="X6" s="129">
        <v>2</v>
      </c>
      <c r="Z6" s="46"/>
      <c r="AA6" s="172" t="s">
        <v>85</v>
      </c>
      <c r="AB6" s="173"/>
      <c r="AC6" s="174"/>
      <c r="AD6" s="105">
        <v>118</v>
      </c>
      <c r="AF6" s="60"/>
      <c r="AG6" s="175" t="s">
        <v>67</v>
      </c>
      <c r="AH6" s="176"/>
      <c r="AI6" s="177"/>
      <c r="AJ6" s="124">
        <v>150000</v>
      </c>
      <c r="AL6" s="60"/>
      <c r="AM6" s="162"/>
      <c r="AN6" s="163"/>
      <c r="AO6" s="164"/>
      <c r="AP6" s="107"/>
    </row>
    <row r="7" spans="2:42" ht="17.25" customHeight="1" thickBot="1">
      <c r="B7" s="148"/>
      <c r="C7" s="172" t="s">
        <v>57</v>
      </c>
      <c r="D7" s="173"/>
      <c r="E7" s="174"/>
      <c r="F7" s="88">
        <v>2</v>
      </c>
      <c r="H7" s="119" t="s">
        <v>140</v>
      </c>
      <c r="I7" s="199" t="s">
        <v>66</v>
      </c>
      <c r="J7" s="200"/>
      <c r="K7" s="201"/>
      <c r="L7" s="143">
        <v>200000</v>
      </c>
      <c r="N7" s="128"/>
      <c r="O7" s="190" t="s">
        <v>71</v>
      </c>
      <c r="P7" s="191"/>
      <c r="Q7" s="192"/>
      <c r="R7" s="138">
        <v>600</v>
      </c>
      <c r="T7" s="123"/>
      <c r="U7" s="193" t="s">
        <v>82</v>
      </c>
      <c r="V7" s="194"/>
      <c r="W7" s="195"/>
      <c r="X7" s="132">
        <v>20000</v>
      </c>
      <c r="Z7" s="46"/>
      <c r="AA7" s="162" t="s">
        <v>70</v>
      </c>
      <c r="AB7" s="163"/>
      <c r="AC7" s="164"/>
      <c r="AD7" s="105">
        <v>10</v>
      </c>
      <c r="AF7" s="46"/>
      <c r="AG7" s="172" t="s">
        <v>85</v>
      </c>
      <c r="AH7" s="173"/>
      <c r="AI7" s="174"/>
      <c r="AJ7" s="107">
        <v>118</v>
      </c>
      <c r="AL7" s="60"/>
      <c r="AM7" s="162"/>
      <c r="AN7" s="163"/>
      <c r="AO7" s="164"/>
      <c r="AP7" s="107"/>
    </row>
    <row r="8" spans="2:42" ht="17.25" customHeight="1" thickBot="1">
      <c r="B8" s="111"/>
      <c r="C8" s="190" t="s">
        <v>58</v>
      </c>
      <c r="D8" s="191"/>
      <c r="E8" s="192"/>
      <c r="F8" s="145">
        <v>6</v>
      </c>
      <c r="H8" s="114" t="s">
        <v>139</v>
      </c>
      <c r="I8" s="168" t="s">
        <v>67</v>
      </c>
      <c r="J8" s="169"/>
      <c r="K8" s="170"/>
      <c r="L8" s="144">
        <v>150000</v>
      </c>
      <c r="N8" s="119"/>
      <c r="O8" s="193" t="s">
        <v>72</v>
      </c>
      <c r="P8" s="194"/>
      <c r="Q8" s="195"/>
      <c r="R8" s="139">
        <v>28200</v>
      </c>
      <c r="T8" s="133"/>
      <c r="U8" s="178" t="s">
        <v>83</v>
      </c>
      <c r="V8" s="179"/>
      <c r="W8" s="180"/>
      <c r="X8" s="134">
        <v>8000</v>
      </c>
      <c r="Z8" s="60"/>
      <c r="AA8" s="172" t="s">
        <v>86</v>
      </c>
      <c r="AB8" s="173"/>
      <c r="AC8" s="174"/>
      <c r="AD8" s="105">
        <v>118</v>
      </c>
      <c r="AF8" s="60"/>
      <c r="AG8" s="172" t="s">
        <v>86</v>
      </c>
      <c r="AH8" s="173"/>
      <c r="AI8" s="174"/>
      <c r="AJ8" s="107">
        <v>118</v>
      </c>
      <c r="AL8" s="60"/>
      <c r="AM8" s="162"/>
      <c r="AN8" s="163"/>
      <c r="AO8" s="164"/>
      <c r="AP8" s="107"/>
    </row>
    <row r="9" spans="2:42" ht="17.25" customHeight="1" thickBot="1">
      <c r="B9" s="146"/>
      <c r="C9" s="184" t="s">
        <v>59</v>
      </c>
      <c r="D9" s="185"/>
      <c r="E9" s="186"/>
      <c r="F9" s="147">
        <v>5000</v>
      </c>
      <c r="H9" s="118"/>
      <c r="I9" s="172" t="s">
        <v>63</v>
      </c>
      <c r="J9" s="173"/>
      <c r="K9" s="174"/>
      <c r="L9" s="95">
        <v>600</v>
      </c>
      <c r="N9" s="141"/>
      <c r="O9" s="187" t="s">
        <v>73</v>
      </c>
      <c r="P9" s="188"/>
      <c r="Q9" s="189"/>
      <c r="R9" s="112">
        <v>600</v>
      </c>
      <c r="T9" s="135"/>
      <c r="U9" s="181" t="s">
        <v>84</v>
      </c>
      <c r="V9" s="182"/>
      <c r="W9" s="183"/>
      <c r="X9" s="136">
        <v>4000</v>
      </c>
      <c r="Z9" s="111"/>
      <c r="AA9" s="190" t="s">
        <v>69</v>
      </c>
      <c r="AB9" s="191"/>
      <c r="AC9" s="192"/>
      <c r="AD9" s="117">
        <v>10</v>
      </c>
      <c r="AF9" s="60"/>
      <c r="AG9" s="172" t="s">
        <v>87</v>
      </c>
      <c r="AH9" s="173"/>
      <c r="AI9" s="174"/>
      <c r="AJ9" s="107">
        <v>118</v>
      </c>
      <c r="AL9" s="60"/>
      <c r="AM9" s="162"/>
      <c r="AN9" s="163"/>
      <c r="AO9" s="164"/>
      <c r="AP9" s="107"/>
    </row>
    <row r="10" spans="2:42" ht="17.25" customHeight="1">
      <c r="B10" s="118"/>
      <c r="C10" s="172" t="s">
        <v>60</v>
      </c>
      <c r="D10" s="173"/>
      <c r="E10" s="174"/>
      <c r="F10" s="88">
        <v>40</v>
      </c>
      <c r="H10" s="60"/>
      <c r="I10" s="162"/>
      <c r="J10" s="163"/>
      <c r="K10" s="164"/>
      <c r="L10" s="96"/>
      <c r="N10" s="123"/>
      <c r="O10" s="193" t="s">
        <v>75</v>
      </c>
      <c r="P10" s="194"/>
      <c r="Q10" s="195"/>
      <c r="R10" s="139">
        <v>300000</v>
      </c>
      <c r="T10" s="118"/>
      <c r="U10" s="196" t="s">
        <v>79</v>
      </c>
      <c r="V10" s="197"/>
      <c r="W10" s="198"/>
      <c r="X10" s="126">
        <v>200</v>
      </c>
      <c r="Z10" s="119"/>
      <c r="AA10" s="199" t="s">
        <v>87</v>
      </c>
      <c r="AB10" s="200"/>
      <c r="AC10" s="201"/>
      <c r="AD10" s="120">
        <v>118</v>
      </c>
      <c r="AF10" s="60"/>
      <c r="AG10" s="172" t="s">
        <v>99</v>
      </c>
      <c r="AH10" s="173"/>
      <c r="AI10" s="174"/>
      <c r="AJ10" s="107">
        <v>118</v>
      </c>
      <c r="AL10" s="60"/>
      <c r="AM10" s="162"/>
      <c r="AN10" s="163"/>
      <c r="AO10" s="164"/>
      <c r="AP10" s="107"/>
    </row>
    <row r="11" spans="2:42" ht="17.25" customHeight="1">
      <c r="B11" s="60"/>
      <c r="C11" s="162" t="s">
        <v>61</v>
      </c>
      <c r="D11" s="163"/>
      <c r="E11" s="164"/>
      <c r="F11" s="89">
        <v>40</v>
      </c>
      <c r="H11" s="60"/>
      <c r="I11" s="162"/>
      <c r="J11" s="163"/>
      <c r="K11" s="164"/>
      <c r="L11" s="96"/>
      <c r="N11" s="133"/>
      <c r="O11" s="178" t="s">
        <v>74</v>
      </c>
      <c r="P11" s="179"/>
      <c r="Q11" s="180"/>
      <c r="R11" s="137">
        <v>100000</v>
      </c>
      <c r="T11" s="60"/>
      <c r="U11" s="175" t="s">
        <v>80</v>
      </c>
      <c r="V11" s="176"/>
      <c r="W11" s="177"/>
      <c r="X11" s="127">
        <v>80</v>
      </c>
      <c r="Z11" s="60"/>
      <c r="AA11" s="175" t="s">
        <v>88</v>
      </c>
      <c r="AB11" s="176"/>
      <c r="AC11" s="177"/>
      <c r="AD11" s="121">
        <v>69</v>
      </c>
      <c r="AF11" s="171" t="s">
        <v>63</v>
      </c>
      <c r="AG11" s="163"/>
      <c r="AH11" s="163"/>
      <c r="AI11" s="164"/>
      <c r="AJ11" s="107">
        <v>600</v>
      </c>
      <c r="AL11" s="60"/>
      <c r="AM11" s="162"/>
      <c r="AN11" s="163"/>
      <c r="AO11" s="164"/>
      <c r="AP11" s="107"/>
    </row>
    <row r="12" spans="2:42" ht="17.25" customHeight="1" thickBot="1">
      <c r="B12" s="60"/>
      <c r="C12" s="162" t="s">
        <v>62</v>
      </c>
      <c r="D12" s="163"/>
      <c r="E12" s="164"/>
      <c r="F12" s="89">
        <v>40</v>
      </c>
      <c r="H12" s="60"/>
      <c r="I12" s="162"/>
      <c r="J12" s="163"/>
      <c r="K12" s="164"/>
      <c r="L12" s="96"/>
      <c r="N12" s="135"/>
      <c r="O12" s="181" t="s">
        <v>76</v>
      </c>
      <c r="P12" s="182"/>
      <c r="Q12" s="183"/>
      <c r="R12" s="140">
        <v>20000</v>
      </c>
      <c r="T12" s="60"/>
      <c r="U12" s="175" t="s">
        <v>78</v>
      </c>
      <c r="V12" s="176"/>
      <c r="W12" s="177"/>
      <c r="X12" s="127">
        <v>40</v>
      </c>
      <c r="Z12" s="60"/>
      <c r="AA12" s="175" t="s">
        <v>89</v>
      </c>
      <c r="AB12" s="176"/>
      <c r="AC12" s="177"/>
      <c r="AD12" s="121">
        <v>83</v>
      </c>
      <c r="AF12" s="171" t="s">
        <v>100</v>
      </c>
      <c r="AG12" s="163"/>
      <c r="AH12" s="163"/>
      <c r="AI12" s="164"/>
      <c r="AJ12" s="113" t="s">
        <v>110</v>
      </c>
      <c r="AL12" s="171" t="s">
        <v>120</v>
      </c>
      <c r="AM12" s="163"/>
      <c r="AN12" s="163"/>
      <c r="AO12" s="164"/>
      <c r="AP12" s="113" t="s">
        <v>129</v>
      </c>
    </row>
    <row r="13" spans="2:42" ht="17.25" customHeight="1">
      <c r="B13" s="60"/>
      <c r="C13" s="162" t="s">
        <v>64</v>
      </c>
      <c r="D13" s="163"/>
      <c r="E13" s="164"/>
      <c r="F13" s="89">
        <v>600</v>
      </c>
      <c r="H13" s="60"/>
      <c r="I13" s="162"/>
      <c r="J13" s="163"/>
      <c r="K13" s="164"/>
      <c r="L13" s="96"/>
      <c r="N13" s="118"/>
      <c r="O13" s="172" t="s">
        <v>77</v>
      </c>
      <c r="P13" s="173"/>
      <c r="Q13" s="174"/>
      <c r="R13" s="99">
        <v>118</v>
      </c>
      <c r="T13" s="60"/>
      <c r="U13" s="162" t="s">
        <v>63</v>
      </c>
      <c r="V13" s="163"/>
      <c r="W13" s="164"/>
      <c r="X13" s="102">
        <v>600</v>
      </c>
      <c r="Z13" s="60"/>
      <c r="AA13" s="175" t="s">
        <v>90</v>
      </c>
      <c r="AB13" s="176"/>
      <c r="AC13" s="177"/>
      <c r="AD13" s="121">
        <v>97</v>
      </c>
      <c r="AF13" s="171" t="s">
        <v>101</v>
      </c>
      <c r="AG13" s="163"/>
      <c r="AH13" s="163"/>
      <c r="AI13" s="164"/>
      <c r="AJ13" s="113" t="s">
        <v>111</v>
      </c>
      <c r="AL13" s="171" t="s">
        <v>121</v>
      </c>
      <c r="AM13" s="163"/>
      <c r="AN13" s="163"/>
      <c r="AO13" s="164"/>
      <c r="AP13" s="113" t="s">
        <v>130</v>
      </c>
    </row>
    <row r="14" spans="2:42" ht="17.25" customHeight="1">
      <c r="B14" s="60"/>
      <c r="C14" s="162"/>
      <c r="D14" s="163"/>
      <c r="E14" s="164"/>
      <c r="F14" s="89"/>
      <c r="H14" s="60"/>
      <c r="I14" s="162"/>
      <c r="J14" s="163"/>
      <c r="K14" s="164"/>
      <c r="L14" s="96"/>
      <c r="N14" s="60"/>
      <c r="O14" s="162"/>
      <c r="P14" s="163"/>
      <c r="Q14" s="164"/>
      <c r="R14" s="100"/>
      <c r="T14" s="60"/>
      <c r="U14" s="162"/>
      <c r="V14" s="163"/>
      <c r="W14" s="164"/>
      <c r="X14" s="102"/>
      <c r="Z14" s="60"/>
      <c r="AA14" s="175" t="s">
        <v>91</v>
      </c>
      <c r="AB14" s="176"/>
      <c r="AC14" s="177"/>
      <c r="AD14" s="121">
        <v>110</v>
      </c>
      <c r="AF14" s="171" t="s">
        <v>102</v>
      </c>
      <c r="AG14" s="163"/>
      <c r="AH14" s="163"/>
      <c r="AI14" s="164"/>
      <c r="AJ14" s="113" t="s">
        <v>112</v>
      </c>
      <c r="AL14" s="171" t="s">
        <v>122</v>
      </c>
      <c r="AM14" s="163"/>
      <c r="AN14" s="163"/>
      <c r="AO14" s="164"/>
      <c r="AP14" s="113" t="s">
        <v>131</v>
      </c>
    </row>
    <row r="15" spans="2:42" ht="17.25" customHeight="1">
      <c r="B15" s="60"/>
      <c r="C15" s="162"/>
      <c r="D15" s="163"/>
      <c r="E15" s="164"/>
      <c r="F15" s="89"/>
      <c r="H15" s="60"/>
      <c r="I15" s="162"/>
      <c r="J15" s="163"/>
      <c r="K15" s="164"/>
      <c r="L15" s="96"/>
      <c r="N15" s="60"/>
      <c r="O15" s="162"/>
      <c r="P15" s="163"/>
      <c r="Q15" s="164"/>
      <c r="R15" s="100"/>
      <c r="T15" s="60"/>
      <c r="U15" s="162"/>
      <c r="V15" s="163"/>
      <c r="W15" s="164"/>
      <c r="X15" s="102"/>
      <c r="Z15" s="60"/>
      <c r="AA15" s="175" t="s">
        <v>92</v>
      </c>
      <c r="AB15" s="176"/>
      <c r="AC15" s="177"/>
      <c r="AD15" s="121">
        <v>124</v>
      </c>
      <c r="AF15" s="171" t="s">
        <v>103</v>
      </c>
      <c r="AG15" s="163"/>
      <c r="AH15" s="163"/>
      <c r="AI15" s="164"/>
      <c r="AJ15" s="113" t="s">
        <v>113</v>
      </c>
      <c r="AL15" s="171" t="s">
        <v>123</v>
      </c>
      <c r="AM15" s="163"/>
      <c r="AN15" s="163"/>
      <c r="AO15" s="164"/>
      <c r="AP15" s="113" t="s">
        <v>132</v>
      </c>
    </row>
    <row r="16" spans="2:42" ht="17.25" customHeight="1">
      <c r="B16" s="60"/>
      <c r="C16" s="162"/>
      <c r="D16" s="163"/>
      <c r="E16" s="164"/>
      <c r="F16" s="89"/>
      <c r="H16" s="60"/>
      <c r="I16" s="162"/>
      <c r="J16" s="163"/>
      <c r="K16" s="164"/>
      <c r="L16" s="96"/>
      <c r="N16" s="60"/>
      <c r="O16" s="162"/>
      <c r="P16" s="163"/>
      <c r="Q16" s="164"/>
      <c r="R16" s="100"/>
      <c r="T16" s="60"/>
      <c r="U16" s="162"/>
      <c r="V16" s="163"/>
      <c r="W16" s="164"/>
      <c r="X16" s="102"/>
      <c r="Z16" s="60"/>
      <c r="AA16" s="175" t="s">
        <v>93</v>
      </c>
      <c r="AB16" s="176"/>
      <c r="AC16" s="177"/>
      <c r="AD16" s="121">
        <v>138</v>
      </c>
      <c r="AF16" s="171" t="s">
        <v>104</v>
      </c>
      <c r="AG16" s="163"/>
      <c r="AH16" s="163"/>
      <c r="AI16" s="164"/>
      <c r="AJ16" s="113" t="s">
        <v>114</v>
      </c>
      <c r="AL16" s="171" t="s">
        <v>124</v>
      </c>
      <c r="AM16" s="163"/>
      <c r="AN16" s="163"/>
      <c r="AO16" s="164"/>
      <c r="AP16" s="113" t="s">
        <v>133</v>
      </c>
    </row>
    <row r="17" spans="2:42" ht="17.25" customHeight="1">
      <c r="B17" s="60"/>
      <c r="C17" s="162"/>
      <c r="D17" s="163"/>
      <c r="E17" s="164"/>
      <c r="F17" s="89"/>
      <c r="H17" s="60"/>
      <c r="I17" s="162"/>
      <c r="J17" s="163"/>
      <c r="K17" s="164"/>
      <c r="L17" s="96"/>
      <c r="N17" s="60"/>
      <c r="O17" s="162"/>
      <c r="P17" s="163"/>
      <c r="Q17" s="164"/>
      <c r="R17" s="100"/>
      <c r="T17" s="60"/>
      <c r="U17" s="162"/>
      <c r="V17" s="163"/>
      <c r="W17" s="164"/>
      <c r="X17" s="102"/>
      <c r="Z17" s="60"/>
      <c r="AA17" s="175" t="s">
        <v>94</v>
      </c>
      <c r="AB17" s="176"/>
      <c r="AC17" s="177"/>
      <c r="AD17" s="121">
        <v>166</v>
      </c>
      <c r="AF17" s="171" t="s">
        <v>105</v>
      </c>
      <c r="AG17" s="163"/>
      <c r="AH17" s="163"/>
      <c r="AI17" s="164"/>
      <c r="AJ17" s="113" t="s">
        <v>115</v>
      </c>
      <c r="AL17" s="171" t="s">
        <v>125</v>
      </c>
      <c r="AM17" s="163"/>
      <c r="AN17" s="163"/>
      <c r="AO17" s="164"/>
      <c r="AP17" s="113" t="s">
        <v>134</v>
      </c>
    </row>
    <row r="18" spans="2:42" ht="17.25" customHeight="1">
      <c r="B18" s="60"/>
      <c r="C18" s="162"/>
      <c r="D18" s="163"/>
      <c r="E18" s="164"/>
      <c r="F18" s="89"/>
      <c r="H18" s="60"/>
      <c r="I18" s="162"/>
      <c r="J18" s="163"/>
      <c r="K18" s="164"/>
      <c r="L18" s="96"/>
      <c r="N18" s="60"/>
      <c r="O18" s="162"/>
      <c r="P18" s="163"/>
      <c r="Q18" s="164"/>
      <c r="R18" s="100"/>
      <c r="T18" s="60"/>
      <c r="U18" s="162"/>
      <c r="V18" s="163"/>
      <c r="W18" s="164"/>
      <c r="X18" s="102"/>
      <c r="Z18" s="60"/>
      <c r="AA18" s="175" t="s">
        <v>95</v>
      </c>
      <c r="AB18" s="176"/>
      <c r="AC18" s="177"/>
      <c r="AD18" s="121">
        <v>207</v>
      </c>
      <c r="AF18" s="171" t="s">
        <v>106</v>
      </c>
      <c r="AG18" s="163"/>
      <c r="AH18" s="163"/>
      <c r="AI18" s="164"/>
      <c r="AJ18" s="113" t="s">
        <v>116</v>
      </c>
      <c r="AL18" s="171" t="s">
        <v>126</v>
      </c>
      <c r="AM18" s="163"/>
      <c r="AN18" s="163"/>
      <c r="AO18" s="164"/>
      <c r="AP18" s="113" t="s">
        <v>135</v>
      </c>
    </row>
    <row r="19" spans="2:42" ht="17.25" customHeight="1" thickBot="1">
      <c r="B19" s="60"/>
      <c r="C19" s="162"/>
      <c r="D19" s="163"/>
      <c r="E19" s="164"/>
      <c r="F19" s="89"/>
      <c r="H19" s="60"/>
      <c r="I19" s="162"/>
      <c r="J19" s="163"/>
      <c r="K19" s="164"/>
      <c r="L19" s="96"/>
      <c r="N19" s="60"/>
      <c r="O19" s="162"/>
      <c r="P19" s="163"/>
      <c r="Q19" s="164"/>
      <c r="R19" s="100"/>
      <c r="T19" s="60"/>
      <c r="U19" s="162"/>
      <c r="V19" s="163"/>
      <c r="W19" s="164"/>
      <c r="X19" s="102"/>
      <c r="Z19" s="114"/>
      <c r="AA19" s="168" t="s">
        <v>96</v>
      </c>
      <c r="AB19" s="169"/>
      <c r="AC19" s="170"/>
      <c r="AD19" s="122">
        <v>253</v>
      </c>
      <c r="AF19" s="171" t="s">
        <v>107</v>
      </c>
      <c r="AG19" s="163"/>
      <c r="AH19" s="163"/>
      <c r="AI19" s="164"/>
      <c r="AJ19" s="113" t="s">
        <v>117</v>
      </c>
      <c r="AL19" s="171" t="s">
        <v>127</v>
      </c>
      <c r="AM19" s="163"/>
      <c r="AN19" s="163"/>
      <c r="AO19" s="164"/>
      <c r="AP19" s="113" t="s">
        <v>136</v>
      </c>
    </row>
    <row r="20" spans="2:42" ht="17.25" customHeight="1">
      <c r="B20" s="60"/>
      <c r="C20" s="162"/>
      <c r="D20" s="163"/>
      <c r="E20" s="164"/>
      <c r="F20" s="89"/>
      <c r="H20" s="60"/>
      <c r="I20" s="162"/>
      <c r="J20" s="163"/>
      <c r="K20" s="164"/>
      <c r="L20" s="96"/>
      <c r="N20" s="60"/>
      <c r="O20" s="162"/>
      <c r="P20" s="163"/>
      <c r="Q20" s="164"/>
      <c r="R20" s="100"/>
      <c r="T20" s="60"/>
      <c r="U20" s="162"/>
      <c r="V20" s="163"/>
      <c r="W20" s="164"/>
      <c r="X20" s="102"/>
      <c r="Z20" s="118"/>
      <c r="AA20" s="172" t="s">
        <v>63</v>
      </c>
      <c r="AB20" s="173"/>
      <c r="AC20" s="174"/>
      <c r="AD20" s="104">
        <v>600</v>
      </c>
      <c r="AF20" s="171" t="s">
        <v>108</v>
      </c>
      <c r="AG20" s="163"/>
      <c r="AH20" s="163"/>
      <c r="AI20" s="164"/>
      <c r="AJ20" s="113" t="s">
        <v>118</v>
      </c>
      <c r="AL20" s="171" t="s">
        <v>128</v>
      </c>
      <c r="AM20" s="163"/>
      <c r="AN20" s="163"/>
      <c r="AO20" s="164"/>
      <c r="AP20" s="113" t="s">
        <v>137</v>
      </c>
    </row>
    <row r="21" spans="2:42" ht="17.25" customHeight="1">
      <c r="B21" s="60"/>
      <c r="C21" s="162"/>
      <c r="D21" s="163"/>
      <c r="E21" s="164"/>
      <c r="F21" s="89"/>
      <c r="H21" s="60"/>
      <c r="I21" s="162"/>
      <c r="J21" s="163"/>
      <c r="K21" s="164"/>
      <c r="L21" s="96"/>
      <c r="N21" s="60"/>
      <c r="O21" s="162"/>
      <c r="P21" s="163"/>
      <c r="Q21" s="164"/>
      <c r="R21" s="100"/>
      <c r="T21" s="60"/>
      <c r="U21" s="162"/>
      <c r="V21" s="163"/>
      <c r="W21" s="164"/>
      <c r="X21" s="102"/>
      <c r="Z21" s="60"/>
      <c r="AA21" s="162" t="s">
        <v>97</v>
      </c>
      <c r="AB21" s="163"/>
      <c r="AC21" s="164"/>
      <c r="AD21" s="105">
        <v>20000</v>
      </c>
      <c r="AF21" s="165" t="s">
        <v>109</v>
      </c>
      <c r="AG21" s="166"/>
      <c r="AH21" s="166"/>
      <c r="AI21" s="166"/>
      <c r="AJ21" s="167"/>
      <c r="AL21" s="60"/>
      <c r="AM21" s="158"/>
      <c r="AN21" s="156"/>
      <c r="AO21" s="157"/>
      <c r="AP21" s="107"/>
    </row>
    <row r="22" spans="2:42" ht="17.25" customHeight="1">
      <c r="B22" s="60"/>
      <c r="C22" s="162"/>
      <c r="D22" s="163"/>
      <c r="E22" s="164"/>
      <c r="F22" s="89"/>
      <c r="H22" s="60"/>
      <c r="I22" s="162"/>
      <c r="J22" s="163"/>
      <c r="K22" s="164"/>
      <c r="L22" s="96"/>
      <c r="N22" s="60"/>
      <c r="O22" s="162"/>
      <c r="P22" s="163"/>
      <c r="Q22" s="164"/>
      <c r="R22" s="100"/>
      <c r="T22" s="60"/>
      <c r="U22" s="162"/>
      <c r="V22" s="163"/>
      <c r="W22" s="164"/>
      <c r="X22" s="102"/>
      <c r="Z22" s="60"/>
      <c r="AA22" s="162" t="s">
        <v>119</v>
      </c>
      <c r="AB22" s="163"/>
      <c r="AC22" s="164"/>
      <c r="AD22" s="105">
        <v>4</v>
      </c>
      <c r="AF22" s="60"/>
      <c r="AG22" s="158"/>
      <c r="AH22" s="156"/>
      <c r="AI22" s="157"/>
      <c r="AJ22" s="107"/>
      <c r="AL22" s="60"/>
      <c r="AM22" s="158"/>
      <c r="AN22" s="156"/>
      <c r="AO22" s="157"/>
      <c r="AP22" s="107"/>
    </row>
    <row r="23" spans="2:42" ht="17.25" customHeight="1" thickBot="1">
      <c r="B23" s="64"/>
      <c r="C23" s="159"/>
      <c r="D23" s="160"/>
      <c r="E23" s="161"/>
      <c r="F23" s="90"/>
      <c r="H23" s="64"/>
      <c r="I23" s="159"/>
      <c r="J23" s="160"/>
      <c r="K23" s="161"/>
      <c r="L23" s="97"/>
      <c r="N23" s="64"/>
      <c r="O23" s="159"/>
      <c r="P23" s="160"/>
      <c r="Q23" s="161"/>
      <c r="R23" s="101"/>
      <c r="T23" s="64"/>
      <c r="U23" s="159"/>
      <c r="V23" s="160"/>
      <c r="W23" s="161"/>
      <c r="X23" s="103"/>
      <c r="Z23" s="64"/>
      <c r="AA23" s="159" t="s">
        <v>98</v>
      </c>
      <c r="AB23" s="160"/>
      <c r="AC23" s="161"/>
      <c r="AD23" s="106">
        <v>20000</v>
      </c>
      <c r="AF23" s="64"/>
      <c r="AG23" s="159"/>
      <c r="AH23" s="160"/>
      <c r="AI23" s="161"/>
      <c r="AJ23" s="108"/>
      <c r="AL23" s="114"/>
      <c r="AM23" s="159"/>
      <c r="AN23" s="160"/>
      <c r="AO23" s="161"/>
      <c r="AP23" s="115"/>
    </row>
    <row r="24" spans="2:42" ht="6.75" customHeight="1"/>
    <row r="25" spans="2:42" ht="22.5" hidden="1" customHeight="1">
      <c r="B25" s="5"/>
      <c r="C25" s="6"/>
      <c r="D25" s="7"/>
      <c r="E25" s="6"/>
      <c r="F25" s="8"/>
      <c r="G25" s="9"/>
      <c r="H25" s="5"/>
      <c r="I25" s="6"/>
      <c r="J25" s="7"/>
      <c r="K25" s="6"/>
      <c r="L25" s="8"/>
      <c r="M25" s="9"/>
      <c r="N25" s="5"/>
      <c r="O25" s="6"/>
      <c r="P25" s="7"/>
      <c r="Q25" s="6"/>
      <c r="R25" s="8"/>
      <c r="S25" s="9"/>
      <c r="T25" s="5"/>
      <c r="U25" s="6"/>
      <c r="V25" s="7"/>
      <c r="W25" s="6"/>
      <c r="X25" s="8"/>
      <c r="Y25" s="9"/>
      <c r="Z25" s="5"/>
      <c r="AA25" s="6"/>
      <c r="AB25" s="7"/>
      <c r="AC25" s="6"/>
      <c r="AD25" s="8"/>
      <c r="AE25" s="9"/>
      <c r="AF25" s="5"/>
      <c r="AG25" s="6"/>
      <c r="AH25" s="7"/>
      <c r="AI25" s="6"/>
      <c r="AJ25" s="8"/>
      <c r="AK25" s="9"/>
      <c r="AL25" s="5"/>
      <c r="AM25" s="6"/>
      <c r="AN25" s="7"/>
      <c r="AO25" s="6"/>
      <c r="AP25" s="8"/>
    </row>
    <row r="26" spans="2:42" ht="22.5" hidden="1" customHeight="1">
      <c r="B26" s="10"/>
      <c r="C26" s="11"/>
      <c r="D26" s="12"/>
      <c r="E26" s="11"/>
      <c r="F26" s="13"/>
      <c r="G26" s="14"/>
      <c r="H26" s="10"/>
      <c r="I26" s="11"/>
      <c r="J26" s="12"/>
      <c r="K26" s="11"/>
      <c r="L26" s="13"/>
      <c r="M26" s="14"/>
      <c r="N26" s="10"/>
      <c r="O26" s="11"/>
      <c r="P26" s="12"/>
      <c r="Q26" s="11"/>
      <c r="R26" s="13"/>
      <c r="S26" s="14"/>
      <c r="T26" s="10"/>
      <c r="U26" s="11"/>
      <c r="V26" s="12"/>
      <c r="W26" s="11"/>
      <c r="X26" s="13"/>
      <c r="Y26" s="14"/>
      <c r="Z26" s="10"/>
      <c r="AA26" s="11"/>
      <c r="AB26" s="12"/>
      <c r="AC26" s="11"/>
      <c r="AD26" s="13"/>
      <c r="AE26" s="14"/>
      <c r="AF26" s="10"/>
      <c r="AG26" s="11"/>
      <c r="AH26" s="12"/>
      <c r="AI26" s="11"/>
      <c r="AJ26" s="13"/>
      <c r="AK26" s="14"/>
      <c r="AL26" s="10"/>
      <c r="AM26" s="11"/>
      <c r="AN26" s="12"/>
      <c r="AO26" s="11"/>
      <c r="AP26" s="13"/>
    </row>
    <row r="27" spans="2:42" ht="22.5" hidden="1" customHeight="1">
      <c r="B27" s="10"/>
      <c r="C27" s="15"/>
      <c r="D27" s="16"/>
      <c r="E27" s="15"/>
      <c r="F27" s="17"/>
      <c r="G27" s="18"/>
      <c r="H27" s="19"/>
      <c r="I27" s="15"/>
      <c r="J27" s="16"/>
      <c r="K27" s="15"/>
      <c r="L27" s="17"/>
      <c r="M27" s="18"/>
      <c r="N27" s="19"/>
      <c r="O27" s="15"/>
      <c r="P27" s="16"/>
      <c r="Q27" s="15"/>
      <c r="R27" s="17"/>
      <c r="S27" s="18"/>
      <c r="T27" s="19"/>
      <c r="U27" s="15"/>
      <c r="V27" s="16"/>
      <c r="W27" s="15"/>
      <c r="X27" s="17"/>
      <c r="Y27" s="18"/>
      <c r="Z27" s="19"/>
      <c r="AA27" s="15"/>
      <c r="AB27" s="16"/>
      <c r="AC27" s="15"/>
      <c r="AD27" s="17"/>
      <c r="AE27" s="18"/>
      <c r="AF27" s="19"/>
      <c r="AG27" s="15"/>
      <c r="AH27" s="16"/>
      <c r="AI27" s="15"/>
      <c r="AJ27" s="17"/>
      <c r="AK27" s="18"/>
      <c r="AL27" s="19"/>
      <c r="AM27" s="15"/>
      <c r="AN27" s="16"/>
      <c r="AO27" s="15"/>
      <c r="AP27" s="17"/>
    </row>
    <row r="28" spans="2:42" ht="22.5" hidden="1" customHeight="1">
      <c r="B28" s="19"/>
      <c r="C28" s="15"/>
      <c r="D28" s="16"/>
      <c r="E28" s="15"/>
      <c r="F28" s="17"/>
      <c r="G28" s="18"/>
      <c r="H28" s="19"/>
      <c r="I28" s="15"/>
      <c r="J28" s="16"/>
      <c r="K28" s="15"/>
      <c r="L28" s="17"/>
      <c r="M28" s="18"/>
      <c r="N28" s="19"/>
      <c r="O28" s="15"/>
      <c r="P28" s="16"/>
      <c r="Q28" s="15"/>
      <c r="R28" s="17"/>
      <c r="S28" s="18"/>
      <c r="T28" s="19"/>
      <c r="U28" s="15"/>
      <c r="V28" s="16"/>
      <c r="W28" s="15"/>
      <c r="X28" s="17"/>
      <c r="Y28" s="18"/>
      <c r="Z28" s="19"/>
      <c r="AA28" s="15"/>
      <c r="AB28" s="16"/>
      <c r="AC28" s="15"/>
      <c r="AD28" s="17"/>
      <c r="AE28" s="18"/>
      <c r="AF28" s="19"/>
      <c r="AG28" s="15"/>
      <c r="AH28" s="16"/>
      <c r="AI28" s="15"/>
      <c r="AJ28" s="17"/>
      <c r="AK28" s="18"/>
      <c r="AL28" s="19"/>
      <c r="AM28" s="15"/>
      <c r="AN28" s="16"/>
      <c r="AO28" s="15"/>
      <c r="AP28" s="17"/>
    </row>
    <row r="29" spans="2:42" ht="22.5" hidden="1" customHeight="1">
      <c r="B29" s="19"/>
      <c r="C29" s="15"/>
      <c r="D29" s="16"/>
      <c r="E29" s="15"/>
      <c r="F29" s="17"/>
      <c r="G29" s="18"/>
      <c r="H29" s="19"/>
      <c r="I29" s="15"/>
      <c r="J29" s="16"/>
      <c r="K29" s="15"/>
      <c r="L29" s="17"/>
      <c r="M29" s="18"/>
      <c r="N29" s="19"/>
      <c r="O29" s="15"/>
      <c r="P29" s="16"/>
      <c r="Q29" s="15"/>
      <c r="R29" s="17"/>
      <c r="S29" s="18"/>
      <c r="T29" s="19"/>
      <c r="U29" s="15"/>
      <c r="V29" s="16"/>
      <c r="W29" s="15"/>
      <c r="X29" s="17"/>
      <c r="Y29" s="18"/>
      <c r="Z29" s="19"/>
      <c r="AA29" s="15"/>
      <c r="AB29" s="16"/>
      <c r="AC29" s="15"/>
      <c r="AD29" s="17"/>
      <c r="AE29" s="18"/>
      <c r="AF29" s="19"/>
      <c r="AG29" s="15"/>
      <c r="AH29" s="16"/>
      <c r="AI29" s="15"/>
      <c r="AJ29" s="17"/>
      <c r="AK29" s="18"/>
      <c r="AL29" s="19"/>
      <c r="AM29" s="15"/>
      <c r="AN29" s="16"/>
      <c r="AO29" s="15"/>
      <c r="AP29" s="17"/>
    </row>
    <row r="30" spans="2:42" ht="7.5" customHeight="1" thickBot="1"/>
    <row r="31" spans="2:42" s="21" customFormat="1" ht="17.25" customHeight="1" thickBot="1">
      <c r="B31" s="238" t="s">
        <v>1</v>
      </c>
      <c r="C31" s="239"/>
      <c r="D31" s="239"/>
      <c r="E31" s="240"/>
      <c r="F31" s="20" t="s">
        <v>2</v>
      </c>
      <c r="H31" s="241" t="s">
        <v>3</v>
      </c>
      <c r="I31" s="242"/>
      <c r="J31" s="242"/>
      <c r="K31" s="243"/>
      <c r="L31" s="22" t="s">
        <v>4</v>
      </c>
      <c r="N31" s="244" t="s">
        <v>5</v>
      </c>
      <c r="O31" s="245"/>
      <c r="P31" s="245"/>
      <c r="Q31" s="246"/>
      <c r="R31" s="23" t="s">
        <v>6</v>
      </c>
      <c r="T31" s="247" t="s">
        <v>7</v>
      </c>
      <c r="U31" s="248"/>
      <c r="V31" s="248"/>
      <c r="W31" s="249"/>
      <c r="X31" s="24" t="s">
        <v>8</v>
      </c>
      <c r="Z31" s="250" t="s">
        <v>9</v>
      </c>
      <c r="AA31" s="251"/>
      <c r="AB31" s="251"/>
      <c r="AC31" s="252"/>
      <c r="AD31" s="25" t="s">
        <v>10</v>
      </c>
      <c r="AF31" s="253" t="s">
        <v>11</v>
      </c>
      <c r="AG31" s="254"/>
      <c r="AH31" s="254"/>
      <c r="AI31" s="255"/>
      <c r="AJ31" s="26" t="s">
        <v>12</v>
      </c>
      <c r="AL31" s="256" t="s">
        <v>13</v>
      </c>
      <c r="AM31" s="257"/>
      <c r="AN31" s="257"/>
      <c r="AO31" s="258"/>
      <c r="AP31" s="27" t="s">
        <v>14</v>
      </c>
    </row>
    <row r="32" spans="2:42" ht="17.25" customHeight="1">
      <c r="B32" s="211">
        <v>3</v>
      </c>
      <c r="C32" s="213" t="s">
        <v>15</v>
      </c>
      <c r="D32" s="214"/>
      <c r="E32" s="217" t="s">
        <v>0</v>
      </c>
      <c r="F32" s="235">
        <v>3</v>
      </c>
      <c r="H32" s="211">
        <f>B32+1</f>
        <v>4</v>
      </c>
      <c r="I32" s="213" t="s">
        <v>15</v>
      </c>
      <c r="J32" s="214"/>
      <c r="K32" s="217" t="s">
        <v>0</v>
      </c>
      <c r="L32" s="231">
        <v>4</v>
      </c>
      <c r="N32" s="211">
        <f>H32+1</f>
        <v>5</v>
      </c>
      <c r="O32" s="213" t="s">
        <v>15</v>
      </c>
      <c r="P32" s="214"/>
      <c r="Q32" s="217" t="s">
        <v>0</v>
      </c>
      <c r="R32" s="233">
        <v>5</v>
      </c>
      <c r="T32" s="211">
        <f>N32+1</f>
        <v>6</v>
      </c>
      <c r="U32" s="213" t="s">
        <v>15</v>
      </c>
      <c r="V32" s="214"/>
      <c r="W32" s="217" t="s">
        <v>0</v>
      </c>
      <c r="X32" s="259">
        <v>6</v>
      </c>
      <c r="Z32" s="211">
        <v>7</v>
      </c>
      <c r="AA32" s="213" t="s">
        <v>15</v>
      </c>
      <c r="AB32" s="214"/>
      <c r="AC32" s="217" t="s">
        <v>0</v>
      </c>
      <c r="AD32" s="221">
        <v>7</v>
      </c>
      <c r="AF32" s="223">
        <v>1</v>
      </c>
      <c r="AG32" s="213" t="s">
        <v>15</v>
      </c>
      <c r="AH32" s="214"/>
      <c r="AI32" s="217" t="s">
        <v>0</v>
      </c>
      <c r="AJ32" s="225">
        <v>8</v>
      </c>
      <c r="AL32" s="211">
        <f>AF32+1</f>
        <v>2</v>
      </c>
      <c r="AM32" s="213" t="s">
        <v>15</v>
      </c>
      <c r="AN32" s="214"/>
      <c r="AO32" s="217" t="s">
        <v>0</v>
      </c>
      <c r="AP32" s="219">
        <v>9</v>
      </c>
    </row>
    <row r="33" spans="2:42" ht="17.25" customHeight="1" thickBot="1">
      <c r="B33" s="212"/>
      <c r="C33" s="215"/>
      <c r="D33" s="216"/>
      <c r="E33" s="218"/>
      <c r="F33" s="236"/>
      <c r="H33" s="212"/>
      <c r="I33" s="215"/>
      <c r="J33" s="216"/>
      <c r="K33" s="218"/>
      <c r="L33" s="232"/>
      <c r="N33" s="212"/>
      <c r="O33" s="215"/>
      <c r="P33" s="216"/>
      <c r="Q33" s="218"/>
      <c r="R33" s="234"/>
      <c r="T33" s="212"/>
      <c r="U33" s="215"/>
      <c r="V33" s="216"/>
      <c r="W33" s="218"/>
      <c r="X33" s="260"/>
      <c r="Z33" s="212"/>
      <c r="AA33" s="215"/>
      <c r="AB33" s="216"/>
      <c r="AC33" s="218"/>
      <c r="AD33" s="222"/>
      <c r="AF33" s="224"/>
      <c r="AG33" s="215"/>
      <c r="AH33" s="216"/>
      <c r="AI33" s="218"/>
      <c r="AJ33" s="226"/>
      <c r="AL33" s="212"/>
      <c r="AM33" s="215"/>
      <c r="AN33" s="216"/>
      <c r="AO33" s="218"/>
      <c r="AP33" s="220"/>
    </row>
    <row r="34" spans="2:42" ht="17.25" customHeight="1" thickBot="1">
      <c r="B34" s="208" t="s">
        <v>16</v>
      </c>
      <c r="C34" s="209"/>
      <c r="D34" s="209"/>
      <c r="E34" s="210"/>
      <c r="F34" s="28" t="s">
        <v>17</v>
      </c>
      <c r="H34" s="208" t="s">
        <v>16</v>
      </c>
      <c r="I34" s="209"/>
      <c r="J34" s="209"/>
      <c r="K34" s="210"/>
      <c r="L34" s="29" t="s">
        <v>17</v>
      </c>
      <c r="N34" s="208" t="s">
        <v>16</v>
      </c>
      <c r="O34" s="209"/>
      <c r="P34" s="209"/>
      <c r="Q34" s="210"/>
      <c r="R34" s="30" t="s">
        <v>17</v>
      </c>
      <c r="T34" s="208" t="s">
        <v>16</v>
      </c>
      <c r="U34" s="209"/>
      <c r="V34" s="209"/>
      <c r="W34" s="210"/>
      <c r="X34" s="31" t="s">
        <v>17</v>
      </c>
      <c r="Z34" s="208" t="s">
        <v>16</v>
      </c>
      <c r="AA34" s="209"/>
      <c r="AB34" s="209"/>
      <c r="AC34" s="210"/>
      <c r="AD34" s="32" t="s">
        <v>17</v>
      </c>
      <c r="AF34" s="208" t="s">
        <v>16</v>
      </c>
      <c r="AG34" s="209"/>
      <c r="AH34" s="209"/>
      <c r="AI34" s="210"/>
      <c r="AJ34" s="33" t="s">
        <v>17</v>
      </c>
      <c r="AL34" s="208" t="s">
        <v>16</v>
      </c>
      <c r="AM34" s="209"/>
      <c r="AN34" s="209"/>
      <c r="AO34" s="210"/>
      <c r="AP34" s="34" t="s">
        <v>17</v>
      </c>
    </row>
    <row r="35" spans="2:42" ht="17.25" customHeight="1">
      <c r="B35" s="35" t="s">
        <v>18</v>
      </c>
      <c r="C35" s="36">
        <v>1.4583333333333299</v>
      </c>
      <c r="D35" s="37" t="s">
        <v>19</v>
      </c>
      <c r="E35" s="38">
        <v>1.6243055555555554</v>
      </c>
      <c r="F35" s="39" t="s">
        <v>144</v>
      </c>
      <c r="H35" s="35" t="s">
        <v>18</v>
      </c>
      <c r="I35" s="36">
        <v>1.4583333333333299</v>
      </c>
      <c r="J35" s="37" t="s">
        <v>19</v>
      </c>
      <c r="K35" s="38">
        <v>1.6243055555555554</v>
      </c>
      <c r="L35" s="40" t="s">
        <v>21</v>
      </c>
      <c r="N35" s="35" t="s">
        <v>18</v>
      </c>
      <c r="O35" s="36">
        <v>1.4583333333333299</v>
      </c>
      <c r="P35" s="37" t="s">
        <v>19</v>
      </c>
      <c r="Q35" s="38">
        <v>1.6243055555555554</v>
      </c>
      <c r="R35" s="41" t="s">
        <v>22</v>
      </c>
      <c r="T35" s="35" t="s">
        <v>18</v>
      </c>
      <c r="U35" s="36">
        <v>1.4583333333333299</v>
      </c>
      <c r="V35" s="37" t="s">
        <v>19</v>
      </c>
      <c r="W35" s="38">
        <v>1.6243055555555554</v>
      </c>
      <c r="X35" s="42" t="s">
        <v>23</v>
      </c>
      <c r="Z35" s="35" t="s">
        <v>18</v>
      </c>
      <c r="AA35" s="36">
        <v>1.4583333333333299</v>
      </c>
      <c r="AB35" s="37" t="s">
        <v>19</v>
      </c>
      <c r="AC35" s="38">
        <v>1.6243055555555554</v>
      </c>
      <c r="AD35" s="43" t="s">
        <v>23</v>
      </c>
      <c r="AF35" s="35" t="s">
        <v>18</v>
      </c>
      <c r="AG35" s="36">
        <v>1.4583333333333299</v>
      </c>
      <c r="AH35" s="37" t="s">
        <v>19</v>
      </c>
      <c r="AI35" s="38">
        <v>1.6243055555555554</v>
      </c>
      <c r="AJ35" s="44" t="s">
        <v>24</v>
      </c>
      <c r="AL35" s="35" t="s">
        <v>18</v>
      </c>
      <c r="AM35" s="36">
        <v>1.4583333333333299</v>
      </c>
      <c r="AN35" s="37" t="s">
        <v>19</v>
      </c>
      <c r="AO35" s="38">
        <v>1.6243055555555554</v>
      </c>
      <c r="AP35" s="45" t="s">
        <v>25</v>
      </c>
    </row>
    <row r="36" spans="2:42" ht="17.25" customHeight="1">
      <c r="B36" s="46" t="s">
        <v>26</v>
      </c>
      <c r="C36" s="47">
        <v>1.625</v>
      </c>
      <c r="D36" s="48" t="s">
        <v>19</v>
      </c>
      <c r="E36" s="49">
        <v>1.7909722222222224</v>
      </c>
      <c r="F36" s="50" t="s">
        <v>21</v>
      </c>
      <c r="H36" s="46" t="s">
        <v>26</v>
      </c>
      <c r="I36" s="47">
        <v>1.625</v>
      </c>
      <c r="J36" s="48" t="s">
        <v>19</v>
      </c>
      <c r="K36" s="49">
        <v>1.7909722222222224</v>
      </c>
      <c r="L36" s="51" t="s">
        <v>22</v>
      </c>
      <c r="N36" s="46" t="s">
        <v>26</v>
      </c>
      <c r="O36" s="47">
        <v>1.625</v>
      </c>
      <c r="P36" s="48" t="s">
        <v>19</v>
      </c>
      <c r="Q36" s="49">
        <v>1.7909722222222224</v>
      </c>
      <c r="R36" s="52" t="s">
        <v>24</v>
      </c>
      <c r="T36" s="46" t="s">
        <v>26</v>
      </c>
      <c r="U36" s="47">
        <v>1.625</v>
      </c>
      <c r="V36" s="48" t="s">
        <v>19</v>
      </c>
      <c r="W36" s="49">
        <v>1.7909722222222224</v>
      </c>
      <c r="X36" s="53" t="s">
        <v>27</v>
      </c>
      <c r="Z36" s="46" t="s">
        <v>26</v>
      </c>
      <c r="AA36" s="47">
        <v>1.625</v>
      </c>
      <c r="AB36" s="48" t="s">
        <v>19</v>
      </c>
      <c r="AC36" s="49">
        <v>1.7909722222222224</v>
      </c>
      <c r="AD36" s="54" t="s">
        <v>27</v>
      </c>
      <c r="AF36" s="46" t="s">
        <v>26</v>
      </c>
      <c r="AG36" s="47">
        <v>1.625</v>
      </c>
      <c r="AH36" s="48" t="s">
        <v>19</v>
      </c>
      <c r="AI36" s="49">
        <v>1.7909722222222224</v>
      </c>
      <c r="AJ36" s="55" t="s">
        <v>25</v>
      </c>
      <c r="AL36" s="46" t="s">
        <v>26</v>
      </c>
      <c r="AM36" s="47">
        <v>1.625</v>
      </c>
      <c r="AN36" s="48" t="s">
        <v>19</v>
      </c>
      <c r="AO36" s="49">
        <v>1.7909722222222224</v>
      </c>
      <c r="AP36" s="56" t="s">
        <v>144</v>
      </c>
    </row>
    <row r="37" spans="2:42" ht="17.25" customHeight="1">
      <c r="B37" s="46" t="s">
        <v>28</v>
      </c>
      <c r="C37" s="57">
        <v>1.7916666666666701</v>
      </c>
      <c r="D37" s="58" t="s">
        <v>19</v>
      </c>
      <c r="E37" s="59">
        <v>1.9576388888888889</v>
      </c>
      <c r="F37" s="50" t="s">
        <v>22</v>
      </c>
      <c r="H37" s="46" t="s">
        <v>28</v>
      </c>
      <c r="I37" s="57">
        <v>1.7916666666666701</v>
      </c>
      <c r="J37" s="58" t="s">
        <v>19</v>
      </c>
      <c r="K37" s="59">
        <v>1.9576388888888889</v>
      </c>
      <c r="L37" s="51" t="s">
        <v>24</v>
      </c>
      <c r="N37" s="46" t="s">
        <v>28</v>
      </c>
      <c r="O37" s="57">
        <v>1.7916666666666701</v>
      </c>
      <c r="P37" s="58" t="s">
        <v>19</v>
      </c>
      <c r="Q37" s="59">
        <v>1.9576388888888889</v>
      </c>
      <c r="R37" s="52" t="s">
        <v>25</v>
      </c>
      <c r="T37" s="46" t="s">
        <v>28</v>
      </c>
      <c r="U37" s="57">
        <v>1.7916666666666701</v>
      </c>
      <c r="V37" s="58" t="s">
        <v>19</v>
      </c>
      <c r="W37" s="59">
        <v>1.9576388888888889</v>
      </c>
      <c r="X37" s="53" t="s">
        <v>29</v>
      </c>
      <c r="Z37" s="46" t="s">
        <v>28</v>
      </c>
      <c r="AA37" s="57">
        <v>1.7916666666666701</v>
      </c>
      <c r="AB37" s="58" t="s">
        <v>19</v>
      </c>
      <c r="AC37" s="59">
        <v>1.9576388888888889</v>
      </c>
      <c r="AD37" s="54" t="s">
        <v>29</v>
      </c>
      <c r="AF37" s="46" t="s">
        <v>28</v>
      </c>
      <c r="AG37" s="57">
        <v>1.7916666666666701</v>
      </c>
      <c r="AH37" s="58" t="s">
        <v>19</v>
      </c>
      <c r="AI37" s="59">
        <v>1.9576388888888889</v>
      </c>
      <c r="AJ37" s="55" t="s">
        <v>144</v>
      </c>
      <c r="AL37" s="46" t="s">
        <v>28</v>
      </c>
      <c r="AM37" s="57">
        <v>1.7916666666666701</v>
      </c>
      <c r="AN37" s="58" t="s">
        <v>19</v>
      </c>
      <c r="AO37" s="59">
        <v>1.9576388888888889</v>
      </c>
      <c r="AP37" s="56" t="s">
        <v>21</v>
      </c>
    </row>
    <row r="38" spans="2:42" ht="17.25" customHeight="1">
      <c r="B38" s="60" t="s">
        <v>30</v>
      </c>
      <c r="C38" s="61">
        <v>1.9583333333333335</v>
      </c>
      <c r="D38" s="62" t="s">
        <v>19</v>
      </c>
      <c r="E38" s="63">
        <v>1.1243055555555554</v>
      </c>
      <c r="F38" s="50" t="s">
        <v>24</v>
      </c>
      <c r="H38" s="60" t="s">
        <v>30</v>
      </c>
      <c r="I38" s="61">
        <v>1.9583333333333335</v>
      </c>
      <c r="J38" s="62" t="s">
        <v>19</v>
      </c>
      <c r="K38" s="63">
        <v>1.1243055555555554</v>
      </c>
      <c r="L38" s="51" t="s">
        <v>25</v>
      </c>
      <c r="N38" s="60" t="s">
        <v>30</v>
      </c>
      <c r="O38" s="61">
        <v>1.9583333333333335</v>
      </c>
      <c r="P38" s="62" t="s">
        <v>19</v>
      </c>
      <c r="Q38" s="63">
        <v>1.1243055555555554</v>
      </c>
      <c r="R38" s="52" t="s">
        <v>144</v>
      </c>
      <c r="T38" s="60" t="s">
        <v>30</v>
      </c>
      <c r="U38" s="61">
        <v>1.9583333333333335</v>
      </c>
      <c r="V38" s="62" t="s">
        <v>19</v>
      </c>
      <c r="W38" s="63">
        <v>1.1243055555555554</v>
      </c>
      <c r="X38" s="53" t="s">
        <v>144</v>
      </c>
      <c r="Z38" s="60" t="s">
        <v>30</v>
      </c>
      <c r="AA38" s="61">
        <v>1.9583333333333335</v>
      </c>
      <c r="AB38" s="62" t="s">
        <v>19</v>
      </c>
      <c r="AC38" s="63">
        <v>1.1243055555555554</v>
      </c>
      <c r="AD38" s="54" t="s">
        <v>144</v>
      </c>
      <c r="AF38" s="60" t="s">
        <v>30</v>
      </c>
      <c r="AG38" s="61">
        <v>1.9583333333333335</v>
      </c>
      <c r="AH38" s="62" t="s">
        <v>19</v>
      </c>
      <c r="AI38" s="63">
        <v>1.1243055555555554</v>
      </c>
      <c r="AJ38" s="55" t="s">
        <v>21</v>
      </c>
      <c r="AL38" s="60" t="s">
        <v>30</v>
      </c>
      <c r="AM38" s="61">
        <v>1.9583333333333335</v>
      </c>
      <c r="AN38" s="62" t="s">
        <v>19</v>
      </c>
      <c r="AO38" s="63">
        <v>1.1243055555555554</v>
      </c>
      <c r="AP38" s="56" t="s">
        <v>22</v>
      </c>
    </row>
    <row r="39" spans="2:42" ht="17.25" customHeight="1">
      <c r="B39" s="60" t="s">
        <v>31</v>
      </c>
      <c r="C39" s="61">
        <v>1.125</v>
      </c>
      <c r="D39" s="62" t="s">
        <v>19</v>
      </c>
      <c r="E39" s="63">
        <v>1.2909722222222222</v>
      </c>
      <c r="F39" s="50" t="s">
        <v>25</v>
      </c>
      <c r="H39" s="60" t="s">
        <v>31</v>
      </c>
      <c r="I39" s="61">
        <v>1.125</v>
      </c>
      <c r="J39" s="62" t="s">
        <v>19</v>
      </c>
      <c r="K39" s="63">
        <v>1.2909722222222222</v>
      </c>
      <c r="L39" s="51" t="s">
        <v>144</v>
      </c>
      <c r="N39" s="60" t="s">
        <v>31</v>
      </c>
      <c r="O39" s="61">
        <v>1.125</v>
      </c>
      <c r="P39" s="62" t="s">
        <v>19</v>
      </c>
      <c r="Q39" s="63">
        <v>1.2909722222222222</v>
      </c>
      <c r="R39" s="52" t="s">
        <v>21</v>
      </c>
      <c r="T39" s="60" t="s">
        <v>31</v>
      </c>
      <c r="U39" s="61">
        <v>1.125</v>
      </c>
      <c r="V39" s="62" t="s">
        <v>19</v>
      </c>
      <c r="W39" s="63">
        <v>1.2909722222222222</v>
      </c>
      <c r="X39" s="53" t="s">
        <v>32</v>
      </c>
      <c r="Z39" s="60" t="s">
        <v>31</v>
      </c>
      <c r="AA39" s="61">
        <v>1.125</v>
      </c>
      <c r="AB39" s="62" t="s">
        <v>19</v>
      </c>
      <c r="AC39" s="63">
        <v>1.2909722222222222</v>
      </c>
      <c r="AD39" s="54" t="s">
        <v>32</v>
      </c>
      <c r="AF39" s="60" t="s">
        <v>31</v>
      </c>
      <c r="AG39" s="61">
        <v>1.125</v>
      </c>
      <c r="AH39" s="62" t="s">
        <v>19</v>
      </c>
      <c r="AI39" s="63">
        <v>1.2909722222222222</v>
      </c>
      <c r="AJ39" s="55" t="s">
        <v>22</v>
      </c>
      <c r="AL39" s="60" t="s">
        <v>31</v>
      </c>
      <c r="AM39" s="61">
        <v>1.125</v>
      </c>
      <c r="AN39" s="62" t="s">
        <v>19</v>
      </c>
      <c r="AO39" s="63">
        <v>1.2909722222222222</v>
      </c>
      <c r="AP39" s="56" t="s">
        <v>24</v>
      </c>
    </row>
    <row r="40" spans="2:42" ht="17.25" customHeight="1" thickBot="1">
      <c r="B40" s="64" t="s">
        <v>33</v>
      </c>
      <c r="C40" s="65">
        <v>1.2916666666666667</v>
      </c>
      <c r="D40" s="66" t="s">
        <v>19</v>
      </c>
      <c r="E40" s="67">
        <v>1.4576388888888889</v>
      </c>
      <c r="F40" s="68" t="s">
        <v>144</v>
      </c>
      <c r="H40" s="64" t="s">
        <v>33</v>
      </c>
      <c r="I40" s="65">
        <v>1.2916666666666667</v>
      </c>
      <c r="J40" s="66" t="s">
        <v>19</v>
      </c>
      <c r="K40" s="67">
        <v>1.4576388888888889</v>
      </c>
      <c r="L40" s="69" t="s">
        <v>21</v>
      </c>
      <c r="N40" s="64" t="s">
        <v>33</v>
      </c>
      <c r="O40" s="65">
        <v>1.2916666666666667</v>
      </c>
      <c r="P40" s="66" t="s">
        <v>19</v>
      </c>
      <c r="Q40" s="67">
        <v>1.4576388888888889</v>
      </c>
      <c r="R40" s="70" t="s">
        <v>22</v>
      </c>
      <c r="T40" s="64" t="s">
        <v>33</v>
      </c>
      <c r="U40" s="65">
        <v>1.2916666666666667</v>
      </c>
      <c r="V40" s="66" t="s">
        <v>19</v>
      </c>
      <c r="W40" s="67">
        <v>1.4576388888888889</v>
      </c>
      <c r="X40" s="71" t="s">
        <v>22</v>
      </c>
      <c r="Z40" s="64" t="s">
        <v>33</v>
      </c>
      <c r="AA40" s="65">
        <v>1.2916666666666667</v>
      </c>
      <c r="AB40" s="66" t="s">
        <v>19</v>
      </c>
      <c r="AC40" s="67">
        <v>1.4576388888888889</v>
      </c>
      <c r="AD40" s="72" t="s">
        <v>22</v>
      </c>
      <c r="AF40" s="64" t="s">
        <v>33</v>
      </c>
      <c r="AG40" s="65">
        <v>1.2916666666666667</v>
      </c>
      <c r="AH40" s="66" t="s">
        <v>19</v>
      </c>
      <c r="AI40" s="67">
        <v>1.4576388888888889</v>
      </c>
      <c r="AJ40" s="73" t="s">
        <v>24</v>
      </c>
      <c r="AL40" s="64" t="s">
        <v>33</v>
      </c>
      <c r="AM40" s="65">
        <v>1.2916666666666667</v>
      </c>
      <c r="AN40" s="66" t="s">
        <v>19</v>
      </c>
      <c r="AO40" s="67">
        <v>1.4576388888888889</v>
      </c>
      <c r="AP40" s="74" t="s">
        <v>25</v>
      </c>
    </row>
    <row r="41" spans="2:42" ht="6" customHeight="1" thickBot="1"/>
    <row r="42" spans="2:42" s="21" customFormat="1" ht="17.25" customHeight="1" thickBot="1">
      <c r="B42" s="238" t="s">
        <v>1</v>
      </c>
      <c r="C42" s="239"/>
      <c r="D42" s="239"/>
      <c r="E42" s="240"/>
      <c r="F42" s="20" t="s">
        <v>2</v>
      </c>
      <c r="H42" s="241" t="s">
        <v>3</v>
      </c>
      <c r="I42" s="242"/>
      <c r="J42" s="242"/>
      <c r="K42" s="243"/>
      <c r="L42" s="22" t="s">
        <v>4</v>
      </c>
      <c r="N42" s="244" t="s">
        <v>5</v>
      </c>
      <c r="O42" s="245"/>
      <c r="P42" s="245"/>
      <c r="Q42" s="246"/>
      <c r="R42" s="23" t="s">
        <v>6</v>
      </c>
      <c r="T42" s="247" t="s">
        <v>7</v>
      </c>
      <c r="U42" s="248"/>
      <c r="V42" s="248"/>
      <c r="W42" s="249"/>
      <c r="X42" s="24" t="s">
        <v>8</v>
      </c>
      <c r="Z42" s="250" t="s">
        <v>9</v>
      </c>
      <c r="AA42" s="251"/>
      <c r="AB42" s="251"/>
      <c r="AC42" s="252"/>
      <c r="AD42" s="25" t="s">
        <v>10</v>
      </c>
      <c r="AF42" s="253" t="s">
        <v>11</v>
      </c>
      <c r="AG42" s="254"/>
      <c r="AH42" s="254"/>
      <c r="AI42" s="255"/>
      <c r="AJ42" s="26" t="s">
        <v>12</v>
      </c>
      <c r="AL42" s="256" t="s">
        <v>13</v>
      </c>
      <c r="AM42" s="257"/>
      <c r="AN42" s="257"/>
      <c r="AO42" s="258"/>
      <c r="AP42" s="27" t="s">
        <v>14</v>
      </c>
    </row>
    <row r="43" spans="2:42" ht="17.25" customHeight="1">
      <c r="B43" s="211">
        <v>3</v>
      </c>
      <c r="C43" s="213" t="s">
        <v>15</v>
      </c>
      <c r="D43" s="214"/>
      <c r="E43" s="217" t="s">
        <v>0</v>
      </c>
      <c r="F43" s="235">
        <v>10</v>
      </c>
      <c r="H43" s="211">
        <f>B43+1</f>
        <v>4</v>
      </c>
      <c r="I43" s="213" t="s">
        <v>15</v>
      </c>
      <c r="J43" s="214"/>
      <c r="K43" s="217" t="s">
        <v>0</v>
      </c>
      <c r="L43" s="231">
        <f>F43+1</f>
        <v>11</v>
      </c>
      <c r="N43" s="211">
        <f>H43+1</f>
        <v>5</v>
      </c>
      <c r="O43" s="213" t="s">
        <v>15</v>
      </c>
      <c r="P43" s="214"/>
      <c r="Q43" s="217" t="s">
        <v>0</v>
      </c>
      <c r="R43" s="233">
        <f>L43+1</f>
        <v>12</v>
      </c>
      <c r="T43" s="211">
        <f>N43+1</f>
        <v>6</v>
      </c>
      <c r="U43" s="213" t="s">
        <v>15</v>
      </c>
      <c r="V43" s="214"/>
      <c r="W43" s="217" t="s">
        <v>0</v>
      </c>
      <c r="X43" s="259">
        <f>R43+1</f>
        <v>13</v>
      </c>
      <c r="Z43" s="211">
        <f>T43+1</f>
        <v>7</v>
      </c>
      <c r="AA43" s="213" t="s">
        <v>15</v>
      </c>
      <c r="AB43" s="214"/>
      <c r="AC43" s="217" t="s">
        <v>0</v>
      </c>
      <c r="AD43" s="221">
        <f>X43+1</f>
        <v>14</v>
      </c>
      <c r="AF43" s="223">
        <v>1</v>
      </c>
      <c r="AG43" s="213" t="s">
        <v>15</v>
      </c>
      <c r="AH43" s="214"/>
      <c r="AI43" s="217" t="s">
        <v>0</v>
      </c>
      <c r="AJ43" s="225">
        <f>AD43+1</f>
        <v>15</v>
      </c>
      <c r="AL43" s="211">
        <f>AF43+1</f>
        <v>2</v>
      </c>
      <c r="AM43" s="213" t="s">
        <v>15</v>
      </c>
      <c r="AN43" s="214"/>
      <c r="AO43" s="217" t="s">
        <v>0</v>
      </c>
      <c r="AP43" s="219">
        <f>AJ43+1</f>
        <v>16</v>
      </c>
    </row>
    <row r="44" spans="2:42" ht="17.25" customHeight="1" thickBot="1">
      <c r="B44" s="212"/>
      <c r="C44" s="215"/>
      <c r="D44" s="216"/>
      <c r="E44" s="218"/>
      <c r="F44" s="236"/>
      <c r="H44" s="212"/>
      <c r="I44" s="215"/>
      <c r="J44" s="216"/>
      <c r="K44" s="218"/>
      <c r="L44" s="232"/>
      <c r="N44" s="212"/>
      <c r="O44" s="215"/>
      <c r="P44" s="216"/>
      <c r="Q44" s="218"/>
      <c r="R44" s="234"/>
      <c r="T44" s="212"/>
      <c r="U44" s="215"/>
      <c r="V44" s="216"/>
      <c r="W44" s="218"/>
      <c r="X44" s="260"/>
      <c r="Z44" s="212"/>
      <c r="AA44" s="215"/>
      <c r="AB44" s="216"/>
      <c r="AC44" s="218"/>
      <c r="AD44" s="222"/>
      <c r="AF44" s="224"/>
      <c r="AG44" s="215"/>
      <c r="AH44" s="216"/>
      <c r="AI44" s="218"/>
      <c r="AJ44" s="226"/>
      <c r="AL44" s="212"/>
      <c r="AM44" s="215"/>
      <c r="AN44" s="216"/>
      <c r="AO44" s="218"/>
      <c r="AP44" s="220"/>
    </row>
    <row r="45" spans="2:42" ht="17.25" customHeight="1" thickBot="1">
      <c r="B45" s="208" t="s">
        <v>16</v>
      </c>
      <c r="C45" s="209"/>
      <c r="D45" s="209"/>
      <c r="E45" s="210"/>
      <c r="F45" s="28" t="s">
        <v>17</v>
      </c>
      <c r="H45" s="208" t="s">
        <v>16</v>
      </c>
      <c r="I45" s="209"/>
      <c r="J45" s="209"/>
      <c r="K45" s="210"/>
      <c r="L45" s="29" t="s">
        <v>17</v>
      </c>
      <c r="N45" s="208" t="s">
        <v>16</v>
      </c>
      <c r="O45" s="209"/>
      <c r="P45" s="209"/>
      <c r="Q45" s="210"/>
      <c r="R45" s="30" t="s">
        <v>17</v>
      </c>
      <c r="T45" s="208" t="s">
        <v>16</v>
      </c>
      <c r="U45" s="209"/>
      <c r="V45" s="209"/>
      <c r="W45" s="210"/>
      <c r="X45" s="31" t="s">
        <v>17</v>
      </c>
      <c r="Z45" s="208" t="s">
        <v>16</v>
      </c>
      <c r="AA45" s="209"/>
      <c r="AB45" s="209"/>
      <c r="AC45" s="210"/>
      <c r="AD45" s="32" t="s">
        <v>17</v>
      </c>
      <c r="AF45" s="208" t="s">
        <v>16</v>
      </c>
      <c r="AG45" s="209"/>
      <c r="AH45" s="209"/>
      <c r="AI45" s="210"/>
      <c r="AJ45" s="33" t="s">
        <v>17</v>
      </c>
      <c r="AL45" s="208" t="s">
        <v>16</v>
      </c>
      <c r="AM45" s="209"/>
      <c r="AN45" s="209"/>
      <c r="AO45" s="210"/>
      <c r="AP45" s="34" t="s">
        <v>17</v>
      </c>
    </row>
    <row r="46" spans="2:42" ht="17.25" customHeight="1">
      <c r="B46" s="35" t="s">
        <v>18</v>
      </c>
      <c r="C46" s="36">
        <v>1.4583333333333299</v>
      </c>
      <c r="D46" s="37" t="s">
        <v>19</v>
      </c>
      <c r="E46" s="38">
        <v>1.6243055555555554</v>
      </c>
      <c r="F46" s="39" t="s">
        <v>144</v>
      </c>
      <c r="H46" s="35" t="s">
        <v>18</v>
      </c>
      <c r="I46" s="36">
        <v>1.4583333333333299</v>
      </c>
      <c r="J46" s="37" t="s">
        <v>19</v>
      </c>
      <c r="K46" s="38">
        <v>1.6243055555555554</v>
      </c>
      <c r="L46" s="40" t="s">
        <v>21</v>
      </c>
      <c r="N46" s="35" t="s">
        <v>18</v>
      </c>
      <c r="O46" s="36">
        <v>1.4583333333333299</v>
      </c>
      <c r="P46" s="37" t="s">
        <v>19</v>
      </c>
      <c r="Q46" s="38">
        <v>1.6243055555555554</v>
      </c>
      <c r="R46" s="41" t="s">
        <v>22</v>
      </c>
      <c r="T46" s="35" t="s">
        <v>18</v>
      </c>
      <c r="U46" s="36">
        <v>1.4583333333333299</v>
      </c>
      <c r="V46" s="37" t="s">
        <v>19</v>
      </c>
      <c r="W46" s="38">
        <v>1.6243055555555554</v>
      </c>
      <c r="X46" s="42" t="s">
        <v>24</v>
      </c>
      <c r="Z46" s="35" t="s">
        <v>18</v>
      </c>
      <c r="AA46" s="36">
        <v>1.4583333333333299</v>
      </c>
      <c r="AB46" s="37" t="s">
        <v>19</v>
      </c>
      <c r="AC46" s="38">
        <v>1.6243055555555554</v>
      </c>
      <c r="AD46" s="43" t="s">
        <v>25</v>
      </c>
      <c r="AF46" s="35" t="s">
        <v>18</v>
      </c>
      <c r="AG46" s="36">
        <v>1.4583333333333299</v>
      </c>
      <c r="AH46" s="37" t="s">
        <v>19</v>
      </c>
      <c r="AI46" s="38">
        <v>1.6243055555555554</v>
      </c>
      <c r="AJ46" s="44" t="s">
        <v>144</v>
      </c>
      <c r="AL46" s="35" t="s">
        <v>18</v>
      </c>
      <c r="AM46" s="36">
        <v>1.4583333333333299</v>
      </c>
      <c r="AN46" s="37" t="s">
        <v>19</v>
      </c>
      <c r="AO46" s="38">
        <v>1.6243055555555554</v>
      </c>
      <c r="AP46" s="45" t="s">
        <v>21</v>
      </c>
    </row>
    <row r="47" spans="2:42" ht="17.25" customHeight="1">
      <c r="B47" s="46" t="s">
        <v>26</v>
      </c>
      <c r="C47" s="47">
        <v>1.625</v>
      </c>
      <c r="D47" s="48" t="s">
        <v>19</v>
      </c>
      <c r="E47" s="49">
        <v>1.7909722222222224</v>
      </c>
      <c r="F47" s="50" t="s">
        <v>21</v>
      </c>
      <c r="H47" s="46" t="s">
        <v>26</v>
      </c>
      <c r="I47" s="47">
        <v>1.625</v>
      </c>
      <c r="J47" s="48" t="s">
        <v>19</v>
      </c>
      <c r="K47" s="49">
        <v>1.7909722222222224</v>
      </c>
      <c r="L47" s="51" t="s">
        <v>22</v>
      </c>
      <c r="N47" s="46" t="s">
        <v>26</v>
      </c>
      <c r="O47" s="47">
        <v>1.625</v>
      </c>
      <c r="P47" s="48" t="s">
        <v>19</v>
      </c>
      <c r="Q47" s="49">
        <v>1.7909722222222224</v>
      </c>
      <c r="R47" s="52" t="s">
        <v>24</v>
      </c>
      <c r="T47" s="46" t="s">
        <v>26</v>
      </c>
      <c r="U47" s="47">
        <v>1.625</v>
      </c>
      <c r="V47" s="48" t="s">
        <v>19</v>
      </c>
      <c r="W47" s="49">
        <v>1.7909722222222224</v>
      </c>
      <c r="X47" s="53" t="s">
        <v>25</v>
      </c>
      <c r="Z47" s="46" t="s">
        <v>26</v>
      </c>
      <c r="AA47" s="47">
        <v>1.625</v>
      </c>
      <c r="AB47" s="48" t="s">
        <v>19</v>
      </c>
      <c r="AC47" s="49">
        <v>1.7909722222222224</v>
      </c>
      <c r="AD47" s="54" t="s">
        <v>144</v>
      </c>
      <c r="AF47" s="46" t="s">
        <v>26</v>
      </c>
      <c r="AG47" s="47">
        <v>1.625</v>
      </c>
      <c r="AH47" s="48" t="s">
        <v>19</v>
      </c>
      <c r="AI47" s="49">
        <v>1.7909722222222224</v>
      </c>
      <c r="AJ47" s="55" t="s">
        <v>21</v>
      </c>
      <c r="AL47" s="46" t="s">
        <v>26</v>
      </c>
      <c r="AM47" s="47">
        <v>1.625</v>
      </c>
      <c r="AN47" s="48" t="s">
        <v>19</v>
      </c>
      <c r="AO47" s="49">
        <v>1.7909722222222224</v>
      </c>
      <c r="AP47" s="56" t="s">
        <v>22</v>
      </c>
    </row>
    <row r="48" spans="2:42" ht="17.25" customHeight="1">
      <c r="B48" s="46" t="s">
        <v>28</v>
      </c>
      <c r="C48" s="57">
        <v>1.7916666666666701</v>
      </c>
      <c r="D48" s="58" t="s">
        <v>19</v>
      </c>
      <c r="E48" s="59">
        <v>1.9576388888888889</v>
      </c>
      <c r="F48" s="50" t="s">
        <v>22</v>
      </c>
      <c r="H48" s="46" t="s">
        <v>28</v>
      </c>
      <c r="I48" s="57">
        <v>1.7916666666666701</v>
      </c>
      <c r="J48" s="58" t="s">
        <v>19</v>
      </c>
      <c r="K48" s="59">
        <v>1.9576388888888889</v>
      </c>
      <c r="L48" s="51" t="s">
        <v>24</v>
      </c>
      <c r="N48" s="46" t="s">
        <v>28</v>
      </c>
      <c r="O48" s="57">
        <v>1.7916666666666701</v>
      </c>
      <c r="P48" s="58" t="s">
        <v>19</v>
      </c>
      <c r="Q48" s="59">
        <v>1.9576388888888889</v>
      </c>
      <c r="R48" s="52" t="s">
        <v>25</v>
      </c>
      <c r="T48" s="46" t="s">
        <v>28</v>
      </c>
      <c r="U48" s="57">
        <v>1.7916666666666701</v>
      </c>
      <c r="V48" s="58" t="s">
        <v>19</v>
      </c>
      <c r="W48" s="59">
        <v>1.9576388888888889</v>
      </c>
      <c r="X48" s="53" t="s">
        <v>144</v>
      </c>
      <c r="Z48" s="46" t="s">
        <v>28</v>
      </c>
      <c r="AA48" s="57">
        <v>1.7916666666666701</v>
      </c>
      <c r="AB48" s="58" t="s">
        <v>19</v>
      </c>
      <c r="AC48" s="59">
        <v>1.9576388888888889</v>
      </c>
      <c r="AD48" s="54" t="s">
        <v>21</v>
      </c>
      <c r="AF48" s="46" t="s">
        <v>28</v>
      </c>
      <c r="AG48" s="57">
        <v>1.7916666666666701</v>
      </c>
      <c r="AH48" s="58" t="s">
        <v>19</v>
      </c>
      <c r="AI48" s="59">
        <v>1.9576388888888889</v>
      </c>
      <c r="AJ48" s="55" t="s">
        <v>22</v>
      </c>
      <c r="AL48" s="46" t="s">
        <v>28</v>
      </c>
      <c r="AM48" s="57">
        <v>1.7916666666666701</v>
      </c>
      <c r="AN48" s="58" t="s">
        <v>19</v>
      </c>
      <c r="AO48" s="59">
        <v>1.9576388888888889</v>
      </c>
      <c r="AP48" s="56" t="s">
        <v>24</v>
      </c>
    </row>
    <row r="49" spans="2:42" ht="17.25" customHeight="1">
      <c r="B49" s="60" t="s">
        <v>30</v>
      </c>
      <c r="C49" s="61">
        <v>1.9583333333333335</v>
      </c>
      <c r="D49" s="62" t="s">
        <v>19</v>
      </c>
      <c r="E49" s="63">
        <v>1.1243055555555554</v>
      </c>
      <c r="F49" s="50" t="s">
        <v>24</v>
      </c>
      <c r="H49" s="60" t="s">
        <v>30</v>
      </c>
      <c r="I49" s="61">
        <v>1.9583333333333335</v>
      </c>
      <c r="J49" s="62" t="s">
        <v>19</v>
      </c>
      <c r="K49" s="63">
        <v>1.1243055555555554</v>
      </c>
      <c r="L49" s="51" t="s">
        <v>25</v>
      </c>
      <c r="N49" s="60" t="s">
        <v>30</v>
      </c>
      <c r="O49" s="61">
        <v>1.9583333333333335</v>
      </c>
      <c r="P49" s="62" t="s">
        <v>19</v>
      </c>
      <c r="Q49" s="63">
        <v>1.1243055555555554</v>
      </c>
      <c r="R49" s="52" t="s">
        <v>144</v>
      </c>
      <c r="T49" s="60" t="s">
        <v>30</v>
      </c>
      <c r="U49" s="61">
        <v>1.9583333333333335</v>
      </c>
      <c r="V49" s="62" t="s">
        <v>19</v>
      </c>
      <c r="W49" s="63">
        <v>1.1243055555555554</v>
      </c>
      <c r="X49" s="53" t="s">
        <v>21</v>
      </c>
      <c r="Z49" s="60" t="s">
        <v>30</v>
      </c>
      <c r="AA49" s="61">
        <v>1.9583333333333335</v>
      </c>
      <c r="AB49" s="62" t="s">
        <v>19</v>
      </c>
      <c r="AC49" s="63">
        <v>1.1243055555555554</v>
      </c>
      <c r="AD49" s="54" t="s">
        <v>22</v>
      </c>
      <c r="AF49" s="60" t="s">
        <v>30</v>
      </c>
      <c r="AG49" s="61">
        <v>1.9583333333333335</v>
      </c>
      <c r="AH49" s="62" t="s">
        <v>19</v>
      </c>
      <c r="AI49" s="63">
        <v>1.1243055555555554</v>
      </c>
      <c r="AJ49" s="55" t="s">
        <v>24</v>
      </c>
      <c r="AL49" s="60" t="s">
        <v>30</v>
      </c>
      <c r="AM49" s="61">
        <v>1.9583333333333335</v>
      </c>
      <c r="AN49" s="62" t="s">
        <v>19</v>
      </c>
      <c r="AO49" s="63">
        <v>1.1243055555555554</v>
      </c>
      <c r="AP49" s="56" t="s">
        <v>25</v>
      </c>
    </row>
    <row r="50" spans="2:42" ht="17.25" customHeight="1">
      <c r="B50" s="60" t="s">
        <v>31</v>
      </c>
      <c r="C50" s="61">
        <v>1.125</v>
      </c>
      <c r="D50" s="62" t="s">
        <v>19</v>
      </c>
      <c r="E50" s="63">
        <v>1.2909722222222222</v>
      </c>
      <c r="F50" s="50" t="s">
        <v>25</v>
      </c>
      <c r="H50" s="60" t="s">
        <v>31</v>
      </c>
      <c r="I50" s="61">
        <v>1.125</v>
      </c>
      <c r="J50" s="62" t="s">
        <v>19</v>
      </c>
      <c r="K50" s="63">
        <v>1.2909722222222222</v>
      </c>
      <c r="L50" s="51" t="s">
        <v>144</v>
      </c>
      <c r="N50" s="60" t="s">
        <v>31</v>
      </c>
      <c r="O50" s="61">
        <v>1.125</v>
      </c>
      <c r="P50" s="62" t="s">
        <v>19</v>
      </c>
      <c r="Q50" s="63">
        <v>1.2909722222222222</v>
      </c>
      <c r="R50" s="52" t="s">
        <v>21</v>
      </c>
      <c r="T50" s="60" t="s">
        <v>31</v>
      </c>
      <c r="U50" s="61">
        <v>1.125</v>
      </c>
      <c r="V50" s="62" t="s">
        <v>19</v>
      </c>
      <c r="W50" s="63">
        <v>1.2909722222222222</v>
      </c>
      <c r="X50" s="53" t="s">
        <v>22</v>
      </c>
      <c r="Z50" s="60" t="s">
        <v>31</v>
      </c>
      <c r="AA50" s="61">
        <v>1.125</v>
      </c>
      <c r="AB50" s="62" t="s">
        <v>19</v>
      </c>
      <c r="AC50" s="63">
        <v>1.2909722222222222</v>
      </c>
      <c r="AD50" s="54" t="s">
        <v>24</v>
      </c>
      <c r="AF50" s="60" t="s">
        <v>31</v>
      </c>
      <c r="AG50" s="61">
        <v>1.125</v>
      </c>
      <c r="AH50" s="62" t="s">
        <v>19</v>
      </c>
      <c r="AI50" s="63">
        <v>1.2909722222222222</v>
      </c>
      <c r="AJ50" s="55" t="s">
        <v>25</v>
      </c>
      <c r="AL50" s="60" t="s">
        <v>31</v>
      </c>
      <c r="AM50" s="61">
        <v>1.125</v>
      </c>
      <c r="AN50" s="62" t="s">
        <v>19</v>
      </c>
      <c r="AO50" s="63">
        <v>1.2909722222222222</v>
      </c>
      <c r="AP50" s="56" t="s">
        <v>144</v>
      </c>
    </row>
    <row r="51" spans="2:42" s="80" customFormat="1" ht="17.25" customHeight="1" thickBot="1">
      <c r="B51" s="75" t="s">
        <v>33</v>
      </c>
      <c r="C51" s="76">
        <v>1.2916666666666667</v>
      </c>
      <c r="D51" s="77" t="s">
        <v>19</v>
      </c>
      <c r="E51" s="78">
        <v>1.4576388888888889</v>
      </c>
      <c r="F51" s="79" t="str">
        <f>F46</f>
        <v>아미고훈련</v>
      </c>
      <c r="H51" s="75" t="s">
        <v>33</v>
      </c>
      <c r="I51" s="76">
        <v>1.2916666666666667</v>
      </c>
      <c r="J51" s="77" t="s">
        <v>19</v>
      </c>
      <c r="K51" s="78">
        <v>1.4576388888888889</v>
      </c>
      <c r="L51" s="81" t="str">
        <f>L46</f>
        <v>기술연구</v>
      </c>
      <c r="N51" s="75" t="s">
        <v>33</v>
      </c>
      <c r="O51" s="76">
        <v>1.2916666666666667</v>
      </c>
      <c r="P51" s="77" t="s">
        <v>19</v>
      </c>
      <c r="Q51" s="78">
        <v>1.4576388888888889</v>
      </c>
      <c r="R51" s="82" t="str">
        <f>R46</f>
        <v>AP소모</v>
      </c>
      <c r="T51" s="75" t="s">
        <v>33</v>
      </c>
      <c r="U51" s="76">
        <v>1.2916666666666667</v>
      </c>
      <c r="V51" s="77" t="s">
        <v>19</v>
      </c>
      <c r="W51" s="78">
        <v>1.4576388888888889</v>
      </c>
      <c r="X51" s="83" t="str">
        <f>X46</f>
        <v>펠몬강화</v>
      </c>
      <c r="Z51" s="75" t="s">
        <v>33</v>
      </c>
      <c r="AA51" s="76">
        <v>1.2916666666666667</v>
      </c>
      <c r="AB51" s="77" t="s">
        <v>19</v>
      </c>
      <c r="AC51" s="78">
        <v>1.4576388888888889</v>
      </c>
      <c r="AD51" s="84" t="str">
        <f>AD46</f>
        <v>건물레벨업</v>
      </c>
      <c r="AF51" s="75" t="s">
        <v>33</v>
      </c>
      <c r="AG51" s="76">
        <v>1.2916666666666667</v>
      </c>
      <c r="AH51" s="77" t="s">
        <v>19</v>
      </c>
      <c r="AI51" s="78">
        <v>1.4576388888888889</v>
      </c>
      <c r="AJ51" s="85" t="str">
        <f>AJ46</f>
        <v>아미고훈련</v>
      </c>
      <c r="AL51" s="75" t="s">
        <v>33</v>
      </c>
      <c r="AM51" s="76">
        <v>1.2916666666666667</v>
      </c>
      <c r="AN51" s="77" t="s">
        <v>19</v>
      </c>
      <c r="AO51" s="78">
        <v>1.4576388888888889</v>
      </c>
      <c r="AP51" s="86" t="str">
        <f>AP46</f>
        <v>기술연구</v>
      </c>
    </row>
    <row r="52" spans="2:42" ht="6" customHeight="1" thickBot="1"/>
    <row r="53" spans="2:42" s="21" customFormat="1" ht="17.25" customHeight="1" thickBot="1">
      <c r="B53" s="238" t="s">
        <v>1</v>
      </c>
      <c r="C53" s="239"/>
      <c r="D53" s="239"/>
      <c r="E53" s="240"/>
      <c r="F53" s="20" t="s">
        <v>2</v>
      </c>
      <c r="H53" s="241" t="s">
        <v>3</v>
      </c>
      <c r="I53" s="242"/>
      <c r="J53" s="242"/>
      <c r="K53" s="243"/>
      <c r="L53" s="22" t="s">
        <v>4</v>
      </c>
      <c r="N53" s="244" t="s">
        <v>5</v>
      </c>
      <c r="O53" s="245"/>
      <c r="P53" s="245"/>
      <c r="Q53" s="246"/>
      <c r="R53" s="23" t="s">
        <v>6</v>
      </c>
      <c r="T53" s="247" t="s">
        <v>7</v>
      </c>
      <c r="U53" s="248"/>
      <c r="V53" s="248"/>
      <c r="W53" s="249"/>
      <c r="X53" s="24" t="s">
        <v>8</v>
      </c>
      <c r="Z53" s="250" t="s">
        <v>9</v>
      </c>
      <c r="AA53" s="251"/>
      <c r="AB53" s="251"/>
      <c r="AC53" s="252"/>
      <c r="AD53" s="25" t="s">
        <v>10</v>
      </c>
      <c r="AF53" s="253" t="s">
        <v>11</v>
      </c>
      <c r="AG53" s="254"/>
      <c r="AH53" s="254"/>
      <c r="AI53" s="255"/>
      <c r="AJ53" s="26" t="s">
        <v>12</v>
      </c>
      <c r="AL53" s="256" t="s">
        <v>13</v>
      </c>
      <c r="AM53" s="257"/>
      <c r="AN53" s="257"/>
      <c r="AO53" s="258"/>
      <c r="AP53" s="27" t="s">
        <v>14</v>
      </c>
    </row>
    <row r="54" spans="2:42" ht="17.25" customHeight="1">
      <c r="B54" s="211">
        <v>3</v>
      </c>
      <c r="C54" s="213" t="s">
        <v>15</v>
      </c>
      <c r="D54" s="214"/>
      <c r="E54" s="217" t="s">
        <v>0</v>
      </c>
      <c r="F54" s="235">
        <v>17</v>
      </c>
      <c r="H54" s="211">
        <f>B54+1</f>
        <v>4</v>
      </c>
      <c r="I54" s="213" t="s">
        <v>15</v>
      </c>
      <c r="J54" s="214"/>
      <c r="K54" s="217" t="s">
        <v>0</v>
      </c>
      <c r="L54" s="231">
        <f>F54+1</f>
        <v>18</v>
      </c>
      <c r="N54" s="211">
        <f>H54+1</f>
        <v>5</v>
      </c>
      <c r="O54" s="213" t="s">
        <v>15</v>
      </c>
      <c r="P54" s="214"/>
      <c r="Q54" s="217" t="s">
        <v>0</v>
      </c>
      <c r="R54" s="233">
        <f>L54+1</f>
        <v>19</v>
      </c>
      <c r="T54" s="211">
        <f>N54+1</f>
        <v>6</v>
      </c>
      <c r="U54" s="213" t="s">
        <v>15</v>
      </c>
      <c r="V54" s="214"/>
      <c r="W54" s="217" t="s">
        <v>0</v>
      </c>
      <c r="X54" s="259">
        <f>R54+1</f>
        <v>20</v>
      </c>
      <c r="Z54" s="211">
        <f>T54+1</f>
        <v>7</v>
      </c>
      <c r="AA54" s="213" t="s">
        <v>15</v>
      </c>
      <c r="AB54" s="214"/>
      <c r="AC54" s="217" t="s">
        <v>0</v>
      </c>
      <c r="AD54" s="221">
        <f>X54+1</f>
        <v>21</v>
      </c>
      <c r="AF54" s="223">
        <v>1</v>
      </c>
      <c r="AG54" s="213" t="s">
        <v>15</v>
      </c>
      <c r="AH54" s="214"/>
      <c r="AI54" s="217" t="s">
        <v>0</v>
      </c>
      <c r="AJ54" s="225">
        <f>AD54+1</f>
        <v>22</v>
      </c>
      <c r="AL54" s="211">
        <f>AF54+1</f>
        <v>2</v>
      </c>
      <c r="AM54" s="213" t="s">
        <v>15</v>
      </c>
      <c r="AN54" s="214"/>
      <c r="AO54" s="217" t="s">
        <v>0</v>
      </c>
      <c r="AP54" s="219">
        <f>AJ54+1</f>
        <v>23</v>
      </c>
    </row>
    <row r="55" spans="2:42" ht="17.25" customHeight="1" thickBot="1">
      <c r="B55" s="212"/>
      <c r="C55" s="215"/>
      <c r="D55" s="216"/>
      <c r="E55" s="218"/>
      <c r="F55" s="236"/>
      <c r="H55" s="212"/>
      <c r="I55" s="215"/>
      <c r="J55" s="216"/>
      <c r="K55" s="218"/>
      <c r="L55" s="232"/>
      <c r="N55" s="212"/>
      <c r="O55" s="215"/>
      <c r="P55" s="216"/>
      <c r="Q55" s="218"/>
      <c r="R55" s="234"/>
      <c r="T55" s="212"/>
      <c r="U55" s="215"/>
      <c r="V55" s="216"/>
      <c r="W55" s="218"/>
      <c r="X55" s="260"/>
      <c r="Z55" s="212"/>
      <c r="AA55" s="215"/>
      <c r="AB55" s="216"/>
      <c r="AC55" s="218"/>
      <c r="AD55" s="222"/>
      <c r="AF55" s="224"/>
      <c r="AG55" s="215"/>
      <c r="AH55" s="216"/>
      <c r="AI55" s="218"/>
      <c r="AJ55" s="226"/>
      <c r="AL55" s="212"/>
      <c r="AM55" s="215"/>
      <c r="AN55" s="216"/>
      <c r="AO55" s="218"/>
      <c r="AP55" s="220"/>
    </row>
    <row r="56" spans="2:42" ht="17.25" customHeight="1" thickBot="1">
      <c r="B56" s="208" t="s">
        <v>16</v>
      </c>
      <c r="C56" s="209"/>
      <c r="D56" s="209"/>
      <c r="E56" s="210"/>
      <c r="F56" s="28" t="s">
        <v>17</v>
      </c>
      <c r="H56" s="208" t="s">
        <v>16</v>
      </c>
      <c r="I56" s="209"/>
      <c r="J56" s="209"/>
      <c r="K56" s="210"/>
      <c r="L56" s="29" t="s">
        <v>17</v>
      </c>
      <c r="N56" s="208" t="s">
        <v>16</v>
      </c>
      <c r="O56" s="209"/>
      <c r="P56" s="209"/>
      <c r="Q56" s="210"/>
      <c r="R56" s="30" t="s">
        <v>17</v>
      </c>
      <c r="T56" s="208" t="s">
        <v>16</v>
      </c>
      <c r="U56" s="209"/>
      <c r="V56" s="209"/>
      <c r="W56" s="210"/>
      <c r="X56" s="31" t="s">
        <v>17</v>
      </c>
      <c r="Z56" s="208" t="s">
        <v>16</v>
      </c>
      <c r="AA56" s="209"/>
      <c r="AB56" s="209"/>
      <c r="AC56" s="210"/>
      <c r="AD56" s="32" t="s">
        <v>17</v>
      </c>
      <c r="AF56" s="208" t="s">
        <v>16</v>
      </c>
      <c r="AG56" s="209"/>
      <c r="AH56" s="209"/>
      <c r="AI56" s="210"/>
      <c r="AJ56" s="33" t="s">
        <v>17</v>
      </c>
      <c r="AL56" s="208" t="s">
        <v>16</v>
      </c>
      <c r="AM56" s="209"/>
      <c r="AN56" s="209"/>
      <c r="AO56" s="210"/>
      <c r="AP56" s="34" t="s">
        <v>17</v>
      </c>
    </row>
    <row r="57" spans="2:42" ht="17.25" customHeight="1">
      <c r="B57" s="35" t="s">
        <v>18</v>
      </c>
      <c r="C57" s="36">
        <v>1.4583333333333299</v>
      </c>
      <c r="D57" s="37" t="s">
        <v>19</v>
      </c>
      <c r="E57" s="38">
        <v>1.6243055555555554</v>
      </c>
      <c r="F57" s="39" t="s">
        <v>22</v>
      </c>
      <c r="H57" s="35" t="s">
        <v>18</v>
      </c>
      <c r="I57" s="36">
        <v>1.4583333333333299</v>
      </c>
      <c r="J57" s="37" t="s">
        <v>19</v>
      </c>
      <c r="K57" s="38">
        <v>1.6243055555555554</v>
      </c>
      <c r="L57" s="40" t="s">
        <v>24</v>
      </c>
      <c r="N57" s="35" t="s">
        <v>18</v>
      </c>
      <c r="O57" s="36">
        <v>1.4583333333333299</v>
      </c>
      <c r="P57" s="37" t="s">
        <v>19</v>
      </c>
      <c r="Q57" s="38">
        <v>1.6243055555555554</v>
      </c>
      <c r="R57" s="41" t="s">
        <v>25</v>
      </c>
      <c r="T57" s="35" t="s">
        <v>18</v>
      </c>
      <c r="U57" s="36">
        <v>1.4583333333333299</v>
      </c>
      <c r="V57" s="37" t="s">
        <v>19</v>
      </c>
      <c r="W57" s="38">
        <v>1.6243055555555554</v>
      </c>
      <c r="X57" s="42" t="s">
        <v>144</v>
      </c>
      <c r="Z57" s="35" t="s">
        <v>18</v>
      </c>
      <c r="AA57" s="36">
        <v>1.4583333333333299</v>
      </c>
      <c r="AB57" s="37" t="s">
        <v>19</v>
      </c>
      <c r="AC57" s="38">
        <v>1.6243055555555554</v>
      </c>
      <c r="AD57" s="43" t="s">
        <v>21</v>
      </c>
      <c r="AF57" s="35" t="s">
        <v>18</v>
      </c>
      <c r="AG57" s="36">
        <v>1.4583333333333299</v>
      </c>
      <c r="AH57" s="37" t="s">
        <v>19</v>
      </c>
      <c r="AI57" s="38">
        <v>1.6243055555555554</v>
      </c>
      <c r="AJ57" s="44" t="s">
        <v>22</v>
      </c>
      <c r="AL57" s="35" t="s">
        <v>18</v>
      </c>
      <c r="AM57" s="36">
        <v>1.4583333333333299</v>
      </c>
      <c r="AN57" s="37" t="s">
        <v>19</v>
      </c>
      <c r="AO57" s="38">
        <v>1.6243055555555554</v>
      </c>
      <c r="AP57" s="45" t="s">
        <v>24</v>
      </c>
    </row>
    <row r="58" spans="2:42" ht="17.25" customHeight="1">
      <c r="B58" s="46" t="s">
        <v>26</v>
      </c>
      <c r="C58" s="47">
        <v>1.625</v>
      </c>
      <c r="D58" s="48" t="s">
        <v>19</v>
      </c>
      <c r="E58" s="49">
        <v>1.7909722222222224</v>
      </c>
      <c r="F58" s="50" t="s">
        <v>24</v>
      </c>
      <c r="H58" s="46" t="s">
        <v>26</v>
      </c>
      <c r="I58" s="47">
        <v>1.625</v>
      </c>
      <c r="J58" s="48" t="s">
        <v>19</v>
      </c>
      <c r="K58" s="49">
        <v>1.7909722222222224</v>
      </c>
      <c r="L58" s="51" t="s">
        <v>25</v>
      </c>
      <c r="N58" s="46" t="s">
        <v>26</v>
      </c>
      <c r="O58" s="47">
        <v>1.625</v>
      </c>
      <c r="P58" s="48" t="s">
        <v>19</v>
      </c>
      <c r="Q58" s="49">
        <v>1.7909722222222224</v>
      </c>
      <c r="R58" s="52" t="s">
        <v>144</v>
      </c>
      <c r="T58" s="46" t="s">
        <v>26</v>
      </c>
      <c r="U58" s="47">
        <v>1.625</v>
      </c>
      <c r="V58" s="48" t="s">
        <v>19</v>
      </c>
      <c r="W58" s="49">
        <v>1.7909722222222224</v>
      </c>
      <c r="X58" s="53" t="s">
        <v>21</v>
      </c>
      <c r="Z58" s="46" t="s">
        <v>26</v>
      </c>
      <c r="AA58" s="47">
        <v>1.625</v>
      </c>
      <c r="AB58" s="48" t="s">
        <v>19</v>
      </c>
      <c r="AC58" s="49">
        <v>1.7909722222222224</v>
      </c>
      <c r="AD58" s="54" t="s">
        <v>22</v>
      </c>
      <c r="AF58" s="46" t="s">
        <v>26</v>
      </c>
      <c r="AG58" s="47">
        <v>1.625</v>
      </c>
      <c r="AH58" s="48" t="s">
        <v>19</v>
      </c>
      <c r="AI58" s="49">
        <v>1.7909722222222224</v>
      </c>
      <c r="AJ58" s="55" t="s">
        <v>24</v>
      </c>
      <c r="AL58" s="46" t="s">
        <v>26</v>
      </c>
      <c r="AM58" s="47">
        <v>1.625</v>
      </c>
      <c r="AN58" s="48" t="s">
        <v>19</v>
      </c>
      <c r="AO58" s="49">
        <v>1.7909722222222224</v>
      </c>
      <c r="AP58" s="56" t="s">
        <v>25</v>
      </c>
    </row>
    <row r="59" spans="2:42" ht="17.25" customHeight="1">
      <c r="B59" s="46" t="s">
        <v>28</v>
      </c>
      <c r="C59" s="57">
        <v>1.7916666666666701</v>
      </c>
      <c r="D59" s="58" t="s">
        <v>19</v>
      </c>
      <c r="E59" s="59">
        <v>1.9576388888888889</v>
      </c>
      <c r="F59" s="50" t="s">
        <v>25</v>
      </c>
      <c r="H59" s="46" t="s">
        <v>28</v>
      </c>
      <c r="I59" s="57">
        <v>1.7916666666666701</v>
      </c>
      <c r="J59" s="58" t="s">
        <v>19</v>
      </c>
      <c r="K59" s="59">
        <v>1.9576388888888889</v>
      </c>
      <c r="L59" s="51" t="s">
        <v>144</v>
      </c>
      <c r="N59" s="46" t="s">
        <v>28</v>
      </c>
      <c r="O59" s="57">
        <v>1.7916666666666701</v>
      </c>
      <c r="P59" s="58" t="s">
        <v>19</v>
      </c>
      <c r="Q59" s="59">
        <v>1.9576388888888889</v>
      </c>
      <c r="R59" s="52" t="s">
        <v>21</v>
      </c>
      <c r="T59" s="46" t="s">
        <v>28</v>
      </c>
      <c r="U59" s="57">
        <v>1.7916666666666701</v>
      </c>
      <c r="V59" s="58" t="s">
        <v>19</v>
      </c>
      <c r="W59" s="59">
        <v>1.9576388888888889</v>
      </c>
      <c r="X59" s="53" t="s">
        <v>22</v>
      </c>
      <c r="Z59" s="46" t="s">
        <v>28</v>
      </c>
      <c r="AA59" s="57">
        <v>1.7916666666666701</v>
      </c>
      <c r="AB59" s="58" t="s">
        <v>19</v>
      </c>
      <c r="AC59" s="59">
        <v>1.9576388888888889</v>
      </c>
      <c r="AD59" s="54" t="s">
        <v>24</v>
      </c>
      <c r="AF59" s="46" t="s">
        <v>28</v>
      </c>
      <c r="AG59" s="57">
        <v>1.7916666666666701</v>
      </c>
      <c r="AH59" s="58" t="s">
        <v>19</v>
      </c>
      <c r="AI59" s="59">
        <v>1.9576388888888889</v>
      </c>
      <c r="AJ59" s="55" t="s">
        <v>25</v>
      </c>
      <c r="AL59" s="46" t="s">
        <v>28</v>
      </c>
      <c r="AM59" s="57">
        <v>1.7916666666666701</v>
      </c>
      <c r="AN59" s="58" t="s">
        <v>19</v>
      </c>
      <c r="AO59" s="59">
        <v>1.9576388888888889</v>
      </c>
      <c r="AP59" s="56" t="s">
        <v>144</v>
      </c>
    </row>
    <row r="60" spans="2:42" ht="17.25" customHeight="1">
      <c r="B60" s="60" t="s">
        <v>30</v>
      </c>
      <c r="C60" s="61">
        <v>1.9583333333333335</v>
      </c>
      <c r="D60" s="62" t="s">
        <v>19</v>
      </c>
      <c r="E60" s="63">
        <v>1.1243055555555554</v>
      </c>
      <c r="F60" s="50" t="s">
        <v>144</v>
      </c>
      <c r="H60" s="60" t="s">
        <v>30</v>
      </c>
      <c r="I60" s="61">
        <v>1.9583333333333335</v>
      </c>
      <c r="J60" s="62" t="s">
        <v>19</v>
      </c>
      <c r="K60" s="63">
        <v>1.1243055555555554</v>
      </c>
      <c r="L60" s="51" t="s">
        <v>21</v>
      </c>
      <c r="N60" s="60" t="s">
        <v>30</v>
      </c>
      <c r="O60" s="61">
        <v>1.9583333333333335</v>
      </c>
      <c r="P60" s="62" t="s">
        <v>19</v>
      </c>
      <c r="Q60" s="63">
        <v>1.1243055555555554</v>
      </c>
      <c r="R60" s="52" t="s">
        <v>22</v>
      </c>
      <c r="T60" s="60" t="s">
        <v>30</v>
      </c>
      <c r="U60" s="61">
        <v>1.9583333333333335</v>
      </c>
      <c r="V60" s="62" t="s">
        <v>19</v>
      </c>
      <c r="W60" s="63">
        <v>1.1243055555555554</v>
      </c>
      <c r="X60" s="53" t="s">
        <v>24</v>
      </c>
      <c r="Z60" s="60" t="s">
        <v>30</v>
      </c>
      <c r="AA60" s="61">
        <v>1.9583333333333335</v>
      </c>
      <c r="AB60" s="62" t="s">
        <v>19</v>
      </c>
      <c r="AC60" s="63">
        <v>1.1243055555555554</v>
      </c>
      <c r="AD60" s="54" t="s">
        <v>25</v>
      </c>
      <c r="AF60" s="60" t="s">
        <v>30</v>
      </c>
      <c r="AG60" s="61">
        <v>1.9583333333333335</v>
      </c>
      <c r="AH60" s="62" t="s">
        <v>19</v>
      </c>
      <c r="AI60" s="63">
        <v>1.1243055555555554</v>
      </c>
      <c r="AJ60" s="55" t="s">
        <v>144</v>
      </c>
      <c r="AL60" s="60" t="s">
        <v>30</v>
      </c>
      <c r="AM60" s="61">
        <v>1.9583333333333335</v>
      </c>
      <c r="AN60" s="62" t="s">
        <v>19</v>
      </c>
      <c r="AO60" s="63">
        <v>1.1243055555555554</v>
      </c>
      <c r="AP60" s="56" t="s">
        <v>21</v>
      </c>
    </row>
    <row r="61" spans="2:42" ht="17.25" customHeight="1">
      <c r="B61" s="60" t="s">
        <v>31</v>
      </c>
      <c r="C61" s="61">
        <v>1.125</v>
      </c>
      <c r="D61" s="62" t="s">
        <v>19</v>
      </c>
      <c r="E61" s="63">
        <v>1.2909722222222222</v>
      </c>
      <c r="F61" s="50" t="s">
        <v>21</v>
      </c>
      <c r="H61" s="60" t="s">
        <v>31</v>
      </c>
      <c r="I61" s="61">
        <v>1.125</v>
      </c>
      <c r="J61" s="62" t="s">
        <v>19</v>
      </c>
      <c r="K61" s="63">
        <v>1.2909722222222222</v>
      </c>
      <c r="L61" s="51" t="s">
        <v>22</v>
      </c>
      <c r="N61" s="60" t="s">
        <v>31</v>
      </c>
      <c r="O61" s="61">
        <v>1.125</v>
      </c>
      <c r="P61" s="62" t="s">
        <v>19</v>
      </c>
      <c r="Q61" s="63">
        <v>1.2909722222222222</v>
      </c>
      <c r="R61" s="52" t="s">
        <v>24</v>
      </c>
      <c r="T61" s="60" t="s">
        <v>31</v>
      </c>
      <c r="U61" s="61">
        <v>1.125</v>
      </c>
      <c r="V61" s="62" t="s">
        <v>19</v>
      </c>
      <c r="W61" s="63">
        <v>1.2909722222222222</v>
      </c>
      <c r="X61" s="53" t="s">
        <v>25</v>
      </c>
      <c r="Z61" s="60" t="s">
        <v>31</v>
      </c>
      <c r="AA61" s="61">
        <v>1.125</v>
      </c>
      <c r="AB61" s="62" t="s">
        <v>19</v>
      </c>
      <c r="AC61" s="63">
        <v>1.2909722222222222</v>
      </c>
      <c r="AD61" s="54" t="s">
        <v>144</v>
      </c>
      <c r="AF61" s="60" t="s">
        <v>31</v>
      </c>
      <c r="AG61" s="61">
        <v>1.125</v>
      </c>
      <c r="AH61" s="62" t="s">
        <v>19</v>
      </c>
      <c r="AI61" s="63">
        <v>1.2909722222222222</v>
      </c>
      <c r="AJ61" s="55" t="s">
        <v>21</v>
      </c>
      <c r="AL61" s="60" t="s">
        <v>31</v>
      </c>
      <c r="AM61" s="61">
        <v>1.125</v>
      </c>
      <c r="AN61" s="62" t="s">
        <v>19</v>
      </c>
      <c r="AO61" s="63">
        <v>1.2909722222222222</v>
      </c>
      <c r="AP61" s="56" t="s">
        <v>22</v>
      </c>
    </row>
    <row r="62" spans="2:42" s="80" customFormat="1" ht="17.25" customHeight="1" thickBot="1">
      <c r="B62" s="75" t="s">
        <v>33</v>
      </c>
      <c r="C62" s="76">
        <v>1.2916666666666667</v>
      </c>
      <c r="D62" s="77" t="s">
        <v>19</v>
      </c>
      <c r="E62" s="78">
        <v>1.4576388888888889</v>
      </c>
      <c r="F62" s="79" t="str">
        <f>F57</f>
        <v>AP소모</v>
      </c>
      <c r="H62" s="75" t="s">
        <v>33</v>
      </c>
      <c r="I62" s="76">
        <v>1.2916666666666667</v>
      </c>
      <c r="J62" s="77" t="s">
        <v>19</v>
      </c>
      <c r="K62" s="78">
        <v>1.4576388888888889</v>
      </c>
      <c r="L62" s="81" t="str">
        <f>L57</f>
        <v>펠몬강화</v>
      </c>
      <c r="N62" s="75" t="s">
        <v>33</v>
      </c>
      <c r="O62" s="76">
        <v>1.2916666666666667</v>
      </c>
      <c r="P62" s="77" t="s">
        <v>19</v>
      </c>
      <c r="Q62" s="78">
        <v>1.4576388888888889</v>
      </c>
      <c r="R62" s="82" t="str">
        <f>R57</f>
        <v>건물레벨업</v>
      </c>
      <c r="T62" s="75" t="s">
        <v>33</v>
      </c>
      <c r="U62" s="76">
        <v>1.2916666666666667</v>
      </c>
      <c r="V62" s="77" t="s">
        <v>19</v>
      </c>
      <c r="W62" s="78">
        <v>1.4576388888888889</v>
      </c>
      <c r="X62" s="83" t="str">
        <f>X57</f>
        <v>아미고훈련</v>
      </c>
      <c r="Z62" s="75" t="s">
        <v>33</v>
      </c>
      <c r="AA62" s="76">
        <v>1.2916666666666667</v>
      </c>
      <c r="AB62" s="77" t="s">
        <v>19</v>
      </c>
      <c r="AC62" s="78">
        <v>1.4576388888888889</v>
      </c>
      <c r="AD62" s="84" t="str">
        <f>AD57</f>
        <v>기술연구</v>
      </c>
      <c r="AF62" s="75" t="s">
        <v>33</v>
      </c>
      <c r="AG62" s="76">
        <v>1.2916666666666667</v>
      </c>
      <c r="AH62" s="77" t="s">
        <v>19</v>
      </c>
      <c r="AI62" s="78">
        <v>1.4576388888888889</v>
      </c>
      <c r="AJ62" s="85" t="str">
        <f>AJ57</f>
        <v>AP소모</v>
      </c>
      <c r="AL62" s="75" t="s">
        <v>33</v>
      </c>
      <c r="AM62" s="76">
        <v>1.2916666666666667</v>
      </c>
      <c r="AN62" s="77" t="s">
        <v>19</v>
      </c>
      <c r="AO62" s="78">
        <v>1.4576388888888889</v>
      </c>
      <c r="AP62" s="86" t="str">
        <f>AP57</f>
        <v>펠몬강화</v>
      </c>
    </row>
    <row r="63" spans="2:42" ht="6" customHeight="1" thickBot="1"/>
    <row r="64" spans="2:42" s="21" customFormat="1" ht="17.25" customHeight="1" thickBot="1">
      <c r="B64" s="238" t="s">
        <v>34</v>
      </c>
      <c r="C64" s="239"/>
      <c r="D64" s="239"/>
      <c r="E64" s="240"/>
      <c r="F64" s="20" t="s">
        <v>35</v>
      </c>
      <c r="H64" s="241" t="s">
        <v>36</v>
      </c>
      <c r="I64" s="242"/>
      <c r="J64" s="242"/>
      <c r="K64" s="243"/>
      <c r="L64" s="22" t="s">
        <v>37</v>
      </c>
      <c r="N64" s="244" t="s">
        <v>38</v>
      </c>
      <c r="O64" s="245"/>
      <c r="P64" s="245"/>
      <c r="Q64" s="246"/>
      <c r="R64" s="23" t="s">
        <v>39</v>
      </c>
      <c r="T64" s="247" t="s">
        <v>40</v>
      </c>
      <c r="U64" s="248"/>
      <c r="V64" s="248"/>
      <c r="W64" s="249"/>
      <c r="X64" s="24" t="s">
        <v>41</v>
      </c>
      <c r="Z64" s="250" t="s">
        <v>42</v>
      </c>
      <c r="AA64" s="251"/>
      <c r="AB64" s="251"/>
      <c r="AC64" s="252"/>
      <c r="AD64" s="25" t="s">
        <v>43</v>
      </c>
      <c r="AF64" s="253" t="s">
        <v>44</v>
      </c>
      <c r="AG64" s="254"/>
      <c r="AH64" s="254"/>
      <c r="AI64" s="255"/>
      <c r="AJ64" s="26" t="s">
        <v>45</v>
      </c>
      <c r="AL64" s="256" t="s">
        <v>46</v>
      </c>
      <c r="AM64" s="257"/>
      <c r="AN64" s="257"/>
      <c r="AO64" s="258"/>
      <c r="AP64" s="27" t="s">
        <v>47</v>
      </c>
    </row>
    <row r="65" spans="2:42" ht="17.25" customHeight="1">
      <c r="B65" s="211">
        <v>3</v>
      </c>
      <c r="C65" s="213" t="s">
        <v>48</v>
      </c>
      <c r="D65" s="214"/>
      <c r="E65" s="217" t="s">
        <v>49</v>
      </c>
      <c r="F65" s="235">
        <v>24</v>
      </c>
      <c r="H65" s="211">
        <f>B65+1</f>
        <v>4</v>
      </c>
      <c r="I65" s="213" t="s">
        <v>50</v>
      </c>
      <c r="J65" s="214"/>
      <c r="K65" s="217" t="s">
        <v>51</v>
      </c>
      <c r="L65" s="231">
        <f>F65+1</f>
        <v>25</v>
      </c>
      <c r="N65" s="211">
        <f>H65+1</f>
        <v>5</v>
      </c>
      <c r="O65" s="213" t="s">
        <v>15</v>
      </c>
      <c r="P65" s="214"/>
      <c r="Q65" s="217" t="s">
        <v>0</v>
      </c>
      <c r="R65" s="233">
        <f>L65+1</f>
        <v>26</v>
      </c>
      <c r="T65" s="211">
        <f>N65+1</f>
        <v>6</v>
      </c>
      <c r="U65" s="213" t="s">
        <v>15</v>
      </c>
      <c r="V65" s="214"/>
      <c r="W65" s="217" t="s">
        <v>0</v>
      </c>
      <c r="X65" s="259">
        <f>R65+1</f>
        <v>27</v>
      </c>
      <c r="Z65" s="211">
        <f>T65+1</f>
        <v>7</v>
      </c>
      <c r="AA65" s="213" t="s">
        <v>15</v>
      </c>
      <c r="AB65" s="214"/>
      <c r="AC65" s="217" t="s">
        <v>0</v>
      </c>
      <c r="AD65" s="221">
        <f>X65+1</f>
        <v>28</v>
      </c>
      <c r="AF65" s="223">
        <v>1</v>
      </c>
      <c r="AG65" s="213" t="s">
        <v>15</v>
      </c>
      <c r="AH65" s="214"/>
      <c r="AI65" s="217" t="s">
        <v>0</v>
      </c>
      <c r="AJ65" s="225">
        <f>AD65+1</f>
        <v>29</v>
      </c>
      <c r="AL65" s="211">
        <f>AF65+1</f>
        <v>2</v>
      </c>
      <c r="AM65" s="213" t="s">
        <v>15</v>
      </c>
      <c r="AN65" s="214"/>
      <c r="AO65" s="217" t="s">
        <v>0</v>
      </c>
      <c r="AP65" s="219">
        <f>AJ65+1</f>
        <v>30</v>
      </c>
    </row>
    <row r="66" spans="2:42" ht="17.25" customHeight="1" thickBot="1">
      <c r="B66" s="212"/>
      <c r="C66" s="215"/>
      <c r="D66" s="216"/>
      <c r="E66" s="218"/>
      <c r="F66" s="236"/>
      <c r="H66" s="212"/>
      <c r="I66" s="215"/>
      <c r="J66" s="216"/>
      <c r="K66" s="218"/>
      <c r="L66" s="232"/>
      <c r="N66" s="212"/>
      <c r="O66" s="215"/>
      <c r="P66" s="216"/>
      <c r="Q66" s="218"/>
      <c r="R66" s="234"/>
      <c r="T66" s="212"/>
      <c r="U66" s="215"/>
      <c r="V66" s="216"/>
      <c r="W66" s="218"/>
      <c r="X66" s="260"/>
      <c r="Z66" s="212"/>
      <c r="AA66" s="215"/>
      <c r="AB66" s="216"/>
      <c r="AC66" s="218"/>
      <c r="AD66" s="222"/>
      <c r="AF66" s="224"/>
      <c r="AG66" s="215"/>
      <c r="AH66" s="216"/>
      <c r="AI66" s="218"/>
      <c r="AJ66" s="226"/>
      <c r="AL66" s="212"/>
      <c r="AM66" s="215"/>
      <c r="AN66" s="216"/>
      <c r="AO66" s="218"/>
      <c r="AP66" s="220"/>
    </row>
    <row r="67" spans="2:42" ht="17.25" customHeight="1" thickBot="1">
      <c r="B67" s="208" t="s">
        <v>16</v>
      </c>
      <c r="C67" s="209"/>
      <c r="D67" s="209"/>
      <c r="E67" s="210"/>
      <c r="F67" s="28" t="s">
        <v>17</v>
      </c>
      <c r="H67" s="208" t="s">
        <v>16</v>
      </c>
      <c r="I67" s="209"/>
      <c r="J67" s="209"/>
      <c r="K67" s="210"/>
      <c r="L67" s="29" t="s">
        <v>17</v>
      </c>
      <c r="N67" s="208" t="s">
        <v>16</v>
      </c>
      <c r="O67" s="209"/>
      <c r="P67" s="209"/>
      <c r="Q67" s="210"/>
      <c r="R67" s="30" t="s">
        <v>17</v>
      </c>
      <c r="T67" s="208" t="s">
        <v>16</v>
      </c>
      <c r="U67" s="209"/>
      <c r="V67" s="209"/>
      <c r="W67" s="210"/>
      <c r="X67" s="31" t="s">
        <v>17</v>
      </c>
      <c r="Z67" s="208" t="s">
        <v>16</v>
      </c>
      <c r="AA67" s="209"/>
      <c r="AB67" s="209"/>
      <c r="AC67" s="210"/>
      <c r="AD67" s="32" t="s">
        <v>17</v>
      </c>
      <c r="AF67" s="208" t="s">
        <v>16</v>
      </c>
      <c r="AG67" s="209"/>
      <c r="AH67" s="209"/>
      <c r="AI67" s="210"/>
      <c r="AJ67" s="33" t="s">
        <v>17</v>
      </c>
      <c r="AL67" s="208" t="s">
        <v>16</v>
      </c>
      <c r="AM67" s="209"/>
      <c r="AN67" s="209"/>
      <c r="AO67" s="210"/>
      <c r="AP67" s="34" t="s">
        <v>17</v>
      </c>
    </row>
    <row r="68" spans="2:42" ht="17.25" customHeight="1">
      <c r="B68" s="35" t="s">
        <v>18</v>
      </c>
      <c r="C68" s="36">
        <v>1.4583333333333299</v>
      </c>
      <c r="D68" s="37" t="s">
        <v>19</v>
      </c>
      <c r="E68" s="38">
        <v>1.6243055555555554</v>
      </c>
      <c r="F68" s="39" t="s">
        <v>25</v>
      </c>
      <c r="H68" s="35" t="s">
        <v>18</v>
      </c>
      <c r="I68" s="36">
        <v>1.4583333333333299</v>
      </c>
      <c r="J68" s="37" t="s">
        <v>19</v>
      </c>
      <c r="K68" s="38">
        <v>1.6243055555555554</v>
      </c>
      <c r="L68" s="40" t="s">
        <v>144</v>
      </c>
      <c r="N68" s="35" t="s">
        <v>18</v>
      </c>
      <c r="O68" s="36">
        <v>1.4583333333333299</v>
      </c>
      <c r="P68" s="37" t="s">
        <v>19</v>
      </c>
      <c r="Q68" s="38">
        <v>1.6243055555555554</v>
      </c>
      <c r="R68" s="41" t="s">
        <v>21</v>
      </c>
      <c r="T68" s="35" t="s">
        <v>18</v>
      </c>
      <c r="U68" s="36">
        <v>1.4583333333333299</v>
      </c>
      <c r="V68" s="37" t="s">
        <v>19</v>
      </c>
      <c r="W68" s="38">
        <v>1.6243055555555554</v>
      </c>
      <c r="X68" s="42" t="str">
        <f>R69</f>
        <v>AP소모</v>
      </c>
      <c r="Z68" s="35" t="s">
        <v>18</v>
      </c>
      <c r="AA68" s="36">
        <v>1.4583333333333299</v>
      </c>
      <c r="AB68" s="37" t="s">
        <v>19</v>
      </c>
      <c r="AC68" s="38">
        <v>1.6243055555555554</v>
      </c>
      <c r="AD68" s="43" t="str">
        <f>X69</f>
        <v>펠몬강화</v>
      </c>
      <c r="AF68" s="35" t="s">
        <v>18</v>
      </c>
      <c r="AG68" s="36">
        <v>1.4583333333333299</v>
      </c>
      <c r="AH68" s="37" t="s">
        <v>19</v>
      </c>
      <c r="AI68" s="38">
        <v>1.6243055555555554</v>
      </c>
      <c r="AJ68" s="44" t="str">
        <f>AD69</f>
        <v>건물레벨업</v>
      </c>
      <c r="AL68" s="35" t="s">
        <v>18</v>
      </c>
      <c r="AM68" s="36">
        <v>1.4583333333333299</v>
      </c>
      <c r="AN68" s="37" t="s">
        <v>19</v>
      </c>
      <c r="AO68" s="38">
        <v>1.6243055555555554</v>
      </c>
      <c r="AP68" s="45" t="str">
        <f>AJ69</f>
        <v>아미고훈련</v>
      </c>
    </row>
    <row r="69" spans="2:42" ht="17.25" customHeight="1">
      <c r="B69" s="46" t="s">
        <v>26</v>
      </c>
      <c r="C69" s="47">
        <v>1.625</v>
      </c>
      <c r="D69" s="48" t="s">
        <v>19</v>
      </c>
      <c r="E69" s="49">
        <v>1.7909722222222224</v>
      </c>
      <c r="F69" s="50" t="s">
        <v>144</v>
      </c>
      <c r="H69" s="46" t="s">
        <v>26</v>
      </c>
      <c r="I69" s="47">
        <v>1.625</v>
      </c>
      <c r="J69" s="48" t="s">
        <v>19</v>
      </c>
      <c r="K69" s="49">
        <v>1.7909722222222224</v>
      </c>
      <c r="L69" s="51" t="s">
        <v>21</v>
      </c>
      <c r="N69" s="46" t="s">
        <v>26</v>
      </c>
      <c r="O69" s="47">
        <v>1.625</v>
      </c>
      <c r="P69" s="48" t="s">
        <v>19</v>
      </c>
      <c r="Q69" s="49">
        <v>1.7909722222222224</v>
      </c>
      <c r="R69" s="52" t="s">
        <v>22</v>
      </c>
      <c r="T69" s="46" t="s">
        <v>26</v>
      </c>
      <c r="U69" s="47">
        <v>1.625</v>
      </c>
      <c r="V69" s="48" t="s">
        <v>19</v>
      </c>
      <c r="W69" s="49">
        <v>1.7909722222222224</v>
      </c>
      <c r="X69" s="53" t="str">
        <f t="shared" ref="X69:X72" si="0">R70</f>
        <v>펠몬강화</v>
      </c>
      <c r="Z69" s="46" t="s">
        <v>26</v>
      </c>
      <c r="AA69" s="47">
        <v>1.625</v>
      </c>
      <c r="AB69" s="48" t="s">
        <v>19</v>
      </c>
      <c r="AC69" s="49">
        <v>1.7909722222222224</v>
      </c>
      <c r="AD69" s="54" t="str">
        <f t="shared" ref="AD69:AD72" si="1">X70</f>
        <v>건물레벨업</v>
      </c>
      <c r="AF69" s="46" t="s">
        <v>26</v>
      </c>
      <c r="AG69" s="47">
        <v>1.625</v>
      </c>
      <c r="AH69" s="48" t="s">
        <v>19</v>
      </c>
      <c r="AI69" s="49">
        <v>1.7909722222222224</v>
      </c>
      <c r="AJ69" s="55" t="str">
        <f t="shared" ref="AJ69:AJ72" si="2">AD70</f>
        <v>아미고훈련</v>
      </c>
      <c r="AL69" s="46" t="s">
        <v>26</v>
      </c>
      <c r="AM69" s="47">
        <v>1.625</v>
      </c>
      <c r="AN69" s="48" t="s">
        <v>19</v>
      </c>
      <c r="AO69" s="49">
        <v>1.7909722222222224</v>
      </c>
      <c r="AP69" s="56" t="str">
        <f t="shared" ref="AP69:AP72" si="3">AJ70</f>
        <v>기술연구</v>
      </c>
    </row>
    <row r="70" spans="2:42" ht="17.25" customHeight="1">
      <c r="B70" s="46" t="s">
        <v>28</v>
      </c>
      <c r="C70" s="57">
        <v>1.7916666666666701</v>
      </c>
      <c r="D70" s="58" t="s">
        <v>19</v>
      </c>
      <c r="E70" s="59">
        <v>1.9576388888888889</v>
      </c>
      <c r="F70" s="50" t="s">
        <v>21</v>
      </c>
      <c r="H70" s="46" t="s">
        <v>28</v>
      </c>
      <c r="I70" s="57">
        <v>1.7916666666666701</v>
      </c>
      <c r="J70" s="58" t="s">
        <v>19</v>
      </c>
      <c r="K70" s="59">
        <v>1.9576388888888889</v>
      </c>
      <c r="L70" s="51" t="s">
        <v>22</v>
      </c>
      <c r="N70" s="46" t="s">
        <v>28</v>
      </c>
      <c r="O70" s="57">
        <v>1.7916666666666701</v>
      </c>
      <c r="P70" s="58" t="s">
        <v>19</v>
      </c>
      <c r="Q70" s="59">
        <v>1.9576388888888889</v>
      </c>
      <c r="R70" s="52" t="s">
        <v>24</v>
      </c>
      <c r="T70" s="46" t="s">
        <v>28</v>
      </c>
      <c r="U70" s="57">
        <v>1.7916666666666701</v>
      </c>
      <c r="V70" s="58" t="s">
        <v>19</v>
      </c>
      <c r="W70" s="59">
        <v>1.9576388888888889</v>
      </c>
      <c r="X70" s="53" t="str">
        <f t="shared" si="0"/>
        <v>건물레벨업</v>
      </c>
      <c r="Z70" s="46" t="s">
        <v>28</v>
      </c>
      <c r="AA70" s="57">
        <v>1.7916666666666701</v>
      </c>
      <c r="AB70" s="58" t="s">
        <v>19</v>
      </c>
      <c r="AC70" s="59">
        <v>1.9576388888888889</v>
      </c>
      <c r="AD70" s="54" t="str">
        <f t="shared" si="1"/>
        <v>아미고훈련</v>
      </c>
      <c r="AF70" s="46" t="s">
        <v>28</v>
      </c>
      <c r="AG70" s="57">
        <v>1.7916666666666701</v>
      </c>
      <c r="AH70" s="58" t="s">
        <v>19</v>
      </c>
      <c r="AI70" s="59">
        <v>1.9576388888888889</v>
      </c>
      <c r="AJ70" s="55" t="str">
        <f t="shared" si="2"/>
        <v>기술연구</v>
      </c>
      <c r="AL70" s="46" t="s">
        <v>28</v>
      </c>
      <c r="AM70" s="57">
        <v>1.7916666666666701</v>
      </c>
      <c r="AN70" s="58" t="s">
        <v>19</v>
      </c>
      <c r="AO70" s="59">
        <v>1.9576388888888889</v>
      </c>
      <c r="AP70" s="56" t="str">
        <f t="shared" si="3"/>
        <v>AP소모</v>
      </c>
    </row>
    <row r="71" spans="2:42" ht="17.25" customHeight="1">
      <c r="B71" s="60" t="s">
        <v>30</v>
      </c>
      <c r="C71" s="61">
        <v>1.9583333333333335</v>
      </c>
      <c r="D71" s="62" t="s">
        <v>19</v>
      </c>
      <c r="E71" s="63">
        <v>1.1243055555555554</v>
      </c>
      <c r="F71" s="50" t="s">
        <v>22</v>
      </c>
      <c r="H71" s="60" t="s">
        <v>30</v>
      </c>
      <c r="I71" s="61">
        <v>1.9583333333333335</v>
      </c>
      <c r="J71" s="62" t="s">
        <v>19</v>
      </c>
      <c r="K71" s="63">
        <v>1.1243055555555554</v>
      </c>
      <c r="L71" s="51" t="s">
        <v>24</v>
      </c>
      <c r="N71" s="60" t="s">
        <v>30</v>
      </c>
      <c r="O71" s="61">
        <v>1.9583333333333335</v>
      </c>
      <c r="P71" s="62" t="s">
        <v>19</v>
      </c>
      <c r="Q71" s="63">
        <v>1.1243055555555554</v>
      </c>
      <c r="R71" s="52" t="s">
        <v>25</v>
      </c>
      <c r="T71" s="60" t="s">
        <v>30</v>
      </c>
      <c r="U71" s="61">
        <v>1.9583333333333335</v>
      </c>
      <c r="V71" s="62" t="s">
        <v>19</v>
      </c>
      <c r="W71" s="63">
        <v>1.1243055555555554</v>
      </c>
      <c r="X71" s="53" t="str">
        <f t="shared" si="0"/>
        <v>아미고훈련</v>
      </c>
      <c r="Z71" s="60" t="s">
        <v>30</v>
      </c>
      <c r="AA71" s="61">
        <v>1.9583333333333335</v>
      </c>
      <c r="AB71" s="62" t="s">
        <v>19</v>
      </c>
      <c r="AC71" s="63">
        <v>1.1243055555555554</v>
      </c>
      <c r="AD71" s="54" t="str">
        <f t="shared" si="1"/>
        <v>기술연구</v>
      </c>
      <c r="AF71" s="60" t="s">
        <v>30</v>
      </c>
      <c r="AG71" s="61">
        <v>1.9583333333333335</v>
      </c>
      <c r="AH71" s="62" t="s">
        <v>19</v>
      </c>
      <c r="AI71" s="63">
        <v>1.1243055555555554</v>
      </c>
      <c r="AJ71" s="55" t="str">
        <f t="shared" si="2"/>
        <v>AP소모</v>
      </c>
      <c r="AL71" s="60" t="s">
        <v>30</v>
      </c>
      <c r="AM71" s="61">
        <v>1.9583333333333335</v>
      </c>
      <c r="AN71" s="62" t="s">
        <v>19</v>
      </c>
      <c r="AO71" s="63">
        <v>1.1243055555555554</v>
      </c>
      <c r="AP71" s="56" t="str">
        <f t="shared" si="3"/>
        <v>펠몬강화</v>
      </c>
    </row>
    <row r="72" spans="2:42" ht="17.25" customHeight="1">
      <c r="B72" s="60" t="s">
        <v>31</v>
      </c>
      <c r="C72" s="61">
        <v>1.125</v>
      </c>
      <c r="D72" s="62" t="s">
        <v>19</v>
      </c>
      <c r="E72" s="63">
        <v>1.2909722222222222</v>
      </c>
      <c r="F72" s="50" t="s">
        <v>24</v>
      </c>
      <c r="H72" s="60" t="s">
        <v>31</v>
      </c>
      <c r="I72" s="61">
        <v>1.125</v>
      </c>
      <c r="J72" s="62" t="s">
        <v>19</v>
      </c>
      <c r="K72" s="63">
        <v>1.2909722222222222</v>
      </c>
      <c r="L72" s="51" t="s">
        <v>25</v>
      </c>
      <c r="N72" s="60" t="s">
        <v>31</v>
      </c>
      <c r="O72" s="61">
        <v>1.125</v>
      </c>
      <c r="P72" s="62" t="s">
        <v>19</v>
      </c>
      <c r="Q72" s="63">
        <v>1.2909722222222222</v>
      </c>
      <c r="R72" s="52" t="s">
        <v>144</v>
      </c>
      <c r="T72" s="60" t="s">
        <v>31</v>
      </c>
      <c r="U72" s="61">
        <v>1.125</v>
      </c>
      <c r="V72" s="62" t="s">
        <v>19</v>
      </c>
      <c r="W72" s="63">
        <v>1.2909722222222222</v>
      </c>
      <c r="X72" s="53" t="str">
        <f t="shared" si="0"/>
        <v>기술연구</v>
      </c>
      <c r="Z72" s="60" t="s">
        <v>31</v>
      </c>
      <c r="AA72" s="61">
        <v>1.125</v>
      </c>
      <c r="AB72" s="62" t="s">
        <v>19</v>
      </c>
      <c r="AC72" s="63">
        <v>1.2909722222222222</v>
      </c>
      <c r="AD72" s="54" t="str">
        <f t="shared" si="1"/>
        <v>AP소모</v>
      </c>
      <c r="AF72" s="60" t="s">
        <v>31</v>
      </c>
      <c r="AG72" s="61">
        <v>1.125</v>
      </c>
      <c r="AH72" s="62" t="s">
        <v>19</v>
      </c>
      <c r="AI72" s="63">
        <v>1.2909722222222222</v>
      </c>
      <c r="AJ72" s="55" t="str">
        <f t="shared" si="2"/>
        <v>펠몬강화</v>
      </c>
      <c r="AL72" s="60" t="s">
        <v>31</v>
      </c>
      <c r="AM72" s="61">
        <v>1.125</v>
      </c>
      <c r="AN72" s="62" t="s">
        <v>19</v>
      </c>
      <c r="AO72" s="63">
        <v>1.2909722222222222</v>
      </c>
      <c r="AP72" s="56" t="str">
        <f t="shared" si="3"/>
        <v>건물레벨업</v>
      </c>
    </row>
    <row r="73" spans="2:42" s="80" customFormat="1" ht="17.25" customHeight="1" thickBot="1">
      <c r="B73" s="75" t="s">
        <v>33</v>
      </c>
      <c r="C73" s="76">
        <v>1.2916666666666667</v>
      </c>
      <c r="D73" s="77" t="s">
        <v>19</v>
      </c>
      <c r="E73" s="78">
        <v>1.4576388888888889</v>
      </c>
      <c r="F73" s="79" t="str">
        <f>F68</f>
        <v>건물레벨업</v>
      </c>
      <c r="H73" s="75" t="s">
        <v>33</v>
      </c>
      <c r="I73" s="76">
        <v>1.2916666666666667</v>
      </c>
      <c r="J73" s="77" t="s">
        <v>19</v>
      </c>
      <c r="K73" s="78">
        <v>1.4576388888888889</v>
      </c>
      <c r="L73" s="81" t="str">
        <f>L68</f>
        <v>아미고훈련</v>
      </c>
      <c r="N73" s="75" t="s">
        <v>33</v>
      </c>
      <c r="O73" s="76">
        <v>1.2916666666666667</v>
      </c>
      <c r="P73" s="77" t="s">
        <v>19</v>
      </c>
      <c r="Q73" s="78">
        <v>1.4576388888888889</v>
      </c>
      <c r="R73" s="82" t="str">
        <f>R68</f>
        <v>기술연구</v>
      </c>
      <c r="T73" s="75" t="s">
        <v>33</v>
      </c>
      <c r="U73" s="76">
        <v>1.2916666666666667</v>
      </c>
      <c r="V73" s="77" t="s">
        <v>19</v>
      </c>
      <c r="W73" s="78">
        <v>1.4576388888888889</v>
      </c>
      <c r="X73" s="83" t="str">
        <f>X68</f>
        <v>AP소모</v>
      </c>
      <c r="Z73" s="75" t="s">
        <v>33</v>
      </c>
      <c r="AA73" s="76">
        <v>1.2916666666666667</v>
      </c>
      <c r="AB73" s="77" t="s">
        <v>19</v>
      </c>
      <c r="AC73" s="78">
        <v>1.4576388888888889</v>
      </c>
      <c r="AD73" s="84" t="str">
        <f>AD68</f>
        <v>펠몬강화</v>
      </c>
      <c r="AF73" s="75" t="s">
        <v>33</v>
      </c>
      <c r="AG73" s="76">
        <v>1.2916666666666667</v>
      </c>
      <c r="AH73" s="77" t="s">
        <v>19</v>
      </c>
      <c r="AI73" s="78">
        <v>1.4576388888888889</v>
      </c>
      <c r="AJ73" s="85" t="str">
        <f>AJ68</f>
        <v>건물레벨업</v>
      </c>
      <c r="AL73" s="75" t="s">
        <v>33</v>
      </c>
      <c r="AM73" s="76">
        <v>1.2916666666666667</v>
      </c>
      <c r="AN73" s="77" t="s">
        <v>19</v>
      </c>
      <c r="AO73" s="78">
        <v>1.4576388888888889</v>
      </c>
      <c r="AP73" s="86" t="str">
        <f>AP68</f>
        <v>아미고훈련</v>
      </c>
    </row>
    <row r="74" spans="2:42" ht="6" customHeight="1"/>
    <row r="75" spans="2:42" ht="33" customHeight="1">
      <c r="B75" s="237" t="s">
        <v>52</v>
      </c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  <c r="AA75" s="237"/>
      <c r="AB75" s="237"/>
      <c r="AC75" s="237"/>
      <c r="AD75" s="237"/>
      <c r="AE75" s="237"/>
      <c r="AF75" s="237"/>
      <c r="AG75" s="237"/>
      <c r="AH75" s="237"/>
      <c r="AI75" s="237"/>
      <c r="AJ75" s="237"/>
      <c r="AK75" s="237"/>
      <c r="AL75" s="237"/>
      <c r="AM75" s="237"/>
      <c r="AN75" s="237"/>
      <c r="AO75" s="237"/>
      <c r="AP75" s="237"/>
    </row>
    <row r="76" spans="2:42" ht="22.5" customHeight="1"/>
    <row r="77" spans="2:42" ht="22.5" customHeight="1">
      <c r="B77" s="5"/>
      <c r="C77" s="6"/>
      <c r="D77" s="7"/>
      <c r="E77" s="6"/>
      <c r="F77" s="8"/>
      <c r="G77" s="9"/>
      <c r="H77" s="5"/>
      <c r="I77" s="6"/>
      <c r="J77" s="7"/>
      <c r="K77" s="6"/>
      <c r="L77" s="8"/>
      <c r="M77" s="9"/>
      <c r="N77" s="5"/>
      <c r="O77" s="6"/>
      <c r="P77" s="7"/>
      <c r="Q77" s="6"/>
      <c r="R77" s="8"/>
      <c r="S77" s="9"/>
      <c r="T77" s="5"/>
      <c r="U77" s="6"/>
      <c r="V77" s="7"/>
      <c r="W77" s="6"/>
      <c r="X77" s="8"/>
      <c r="Y77" s="9"/>
      <c r="Z77" s="5"/>
      <c r="AA77" s="6"/>
      <c r="AB77" s="7"/>
      <c r="AC77" s="6"/>
      <c r="AD77" s="8"/>
      <c r="AE77" s="9"/>
      <c r="AF77" s="5"/>
      <c r="AG77" s="6"/>
      <c r="AH77" s="7"/>
      <c r="AI77" s="6"/>
      <c r="AJ77" s="8"/>
      <c r="AK77" s="9"/>
      <c r="AL77" s="5"/>
      <c r="AM77" s="6"/>
      <c r="AN77" s="7"/>
      <c r="AO77" s="6"/>
      <c r="AP77" s="8"/>
    </row>
    <row r="78" spans="2:42" ht="22.5" customHeight="1">
      <c r="B78" s="10"/>
      <c r="C78" s="11"/>
      <c r="D78" s="12"/>
      <c r="E78" s="11"/>
      <c r="F78" s="13"/>
      <c r="G78" s="14"/>
      <c r="H78" s="10"/>
      <c r="I78" s="11"/>
      <c r="J78" s="12"/>
      <c r="K78" s="11"/>
      <c r="L78" s="13"/>
      <c r="M78" s="14"/>
      <c r="N78" s="10"/>
      <c r="O78" s="11"/>
      <c r="P78" s="12"/>
      <c r="Q78" s="11"/>
      <c r="R78" s="13"/>
      <c r="S78" s="14"/>
      <c r="T78" s="10"/>
      <c r="U78" s="11"/>
      <c r="V78" s="12"/>
      <c r="W78" s="11"/>
      <c r="X78" s="13"/>
      <c r="Y78" s="14"/>
      <c r="Z78" s="10"/>
      <c r="AA78" s="11"/>
      <c r="AB78" s="12"/>
      <c r="AC78" s="11"/>
      <c r="AD78" s="13"/>
      <c r="AE78" s="14"/>
      <c r="AF78" s="10"/>
      <c r="AG78" s="11"/>
      <c r="AH78" s="12"/>
      <c r="AI78" s="11"/>
      <c r="AJ78" s="13"/>
      <c r="AK78" s="14"/>
      <c r="AL78" s="10"/>
      <c r="AM78" s="11"/>
      <c r="AN78" s="12"/>
      <c r="AO78" s="11"/>
      <c r="AP78" s="13"/>
    </row>
    <row r="79" spans="2:42" ht="22.5" customHeight="1">
      <c r="B79" s="10"/>
      <c r="C79" s="15"/>
      <c r="D79" s="16"/>
      <c r="E79" s="15"/>
      <c r="F79" s="17"/>
      <c r="G79" s="18"/>
      <c r="H79" s="19"/>
      <c r="I79" s="15"/>
      <c r="J79" s="16"/>
      <c r="K79" s="15"/>
      <c r="L79" s="17"/>
      <c r="M79" s="18"/>
      <c r="N79" s="19"/>
      <c r="O79" s="15"/>
      <c r="P79" s="16"/>
      <c r="Q79" s="15"/>
      <c r="R79" s="17"/>
      <c r="S79" s="18"/>
      <c r="T79" s="19"/>
      <c r="U79" s="15"/>
      <c r="V79" s="16"/>
      <c r="W79" s="15"/>
      <c r="X79" s="17"/>
      <c r="Y79" s="18"/>
      <c r="Z79" s="19"/>
      <c r="AA79" s="15"/>
      <c r="AB79" s="16"/>
      <c r="AC79" s="15"/>
      <c r="AD79" s="17"/>
      <c r="AE79" s="18"/>
      <c r="AF79" s="19"/>
      <c r="AG79" s="15"/>
      <c r="AH79" s="16"/>
      <c r="AI79" s="15"/>
      <c r="AJ79" s="17"/>
      <c r="AK79" s="18"/>
      <c r="AL79" s="19"/>
      <c r="AM79" s="15"/>
      <c r="AN79" s="16"/>
      <c r="AO79" s="15"/>
      <c r="AP79" s="17"/>
    </row>
    <row r="80" spans="2:42" ht="22.5" customHeight="1">
      <c r="B80" s="19"/>
      <c r="C80" s="15"/>
      <c r="D80" s="16"/>
      <c r="E80" s="15"/>
      <c r="F80" s="17"/>
      <c r="G80" s="18"/>
      <c r="H80" s="19"/>
      <c r="I80" s="15"/>
      <c r="J80" s="16"/>
      <c r="K80" s="15"/>
      <c r="L80" s="17"/>
      <c r="M80" s="18"/>
      <c r="N80" s="19"/>
      <c r="O80" s="15"/>
      <c r="P80" s="16"/>
      <c r="Q80" s="15"/>
      <c r="R80" s="17"/>
      <c r="S80" s="18"/>
      <c r="T80" s="19"/>
      <c r="U80" s="15"/>
      <c r="V80" s="16"/>
      <c r="W80" s="15"/>
      <c r="X80" s="17"/>
      <c r="Y80" s="18"/>
      <c r="Z80" s="19"/>
      <c r="AA80" s="15"/>
      <c r="AB80" s="16"/>
      <c r="AC80" s="15"/>
      <c r="AD80" s="17"/>
      <c r="AE80" s="18"/>
      <c r="AF80" s="19"/>
      <c r="AG80" s="15"/>
      <c r="AH80" s="16"/>
      <c r="AI80" s="15"/>
      <c r="AJ80" s="17"/>
      <c r="AK80" s="18"/>
      <c r="AL80" s="19"/>
      <c r="AM80" s="15"/>
      <c r="AN80" s="16"/>
      <c r="AO80" s="15"/>
      <c r="AP80" s="17"/>
    </row>
    <row r="81" spans="2:42" ht="22.5" customHeight="1">
      <c r="B81" s="19"/>
      <c r="C81" s="15"/>
      <c r="D81" s="16"/>
      <c r="E81" s="15"/>
      <c r="F81" s="17"/>
      <c r="G81" s="18"/>
      <c r="H81" s="19"/>
      <c r="I81" s="15"/>
      <c r="J81" s="16"/>
      <c r="K81" s="15"/>
      <c r="L81" s="17"/>
      <c r="M81" s="18"/>
      <c r="N81" s="19"/>
      <c r="O81" s="15"/>
      <c r="P81" s="16"/>
      <c r="Q81" s="15"/>
      <c r="R81" s="17"/>
      <c r="S81" s="18"/>
      <c r="T81" s="19"/>
      <c r="U81" s="15"/>
      <c r="V81" s="16"/>
      <c r="W81" s="15"/>
      <c r="X81" s="17"/>
      <c r="Y81" s="18"/>
      <c r="Z81" s="19"/>
      <c r="AA81" s="15"/>
      <c r="AB81" s="16"/>
      <c r="AC81" s="15"/>
      <c r="AD81" s="17"/>
      <c r="AE81" s="18"/>
      <c r="AF81" s="19"/>
      <c r="AG81" s="15"/>
      <c r="AH81" s="16"/>
      <c r="AI81" s="15"/>
      <c r="AJ81" s="17"/>
      <c r="AK81" s="18"/>
      <c r="AL81" s="19"/>
      <c r="AM81" s="15"/>
      <c r="AN81" s="16"/>
      <c r="AO81" s="15"/>
      <c r="AP81" s="17"/>
    </row>
    <row r="82" spans="2:42" ht="7.5" customHeight="1" thickBot="1"/>
    <row r="83" spans="2:42" s="21" customFormat="1" ht="17.25" customHeight="1" thickBot="1">
      <c r="B83" s="238" t="s">
        <v>1</v>
      </c>
      <c r="C83" s="239"/>
      <c r="D83" s="239"/>
      <c r="E83" s="240"/>
      <c r="F83" s="20" t="s">
        <v>2</v>
      </c>
      <c r="H83" s="241" t="s">
        <v>3</v>
      </c>
      <c r="I83" s="242"/>
      <c r="J83" s="242"/>
      <c r="K83" s="243"/>
      <c r="L83" s="22" t="s">
        <v>4</v>
      </c>
      <c r="N83" s="244" t="s">
        <v>5</v>
      </c>
      <c r="O83" s="245"/>
      <c r="P83" s="245"/>
      <c r="Q83" s="246"/>
      <c r="R83" s="23" t="s">
        <v>6</v>
      </c>
      <c r="T83" s="247" t="s">
        <v>7</v>
      </c>
      <c r="U83" s="248"/>
      <c r="V83" s="248"/>
      <c r="W83" s="249"/>
      <c r="X83" s="24" t="s">
        <v>8</v>
      </c>
      <c r="Z83" s="250" t="s">
        <v>9</v>
      </c>
      <c r="AA83" s="251"/>
      <c r="AB83" s="251"/>
      <c r="AC83" s="252"/>
      <c r="AD83" s="25" t="s">
        <v>10</v>
      </c>
      <c r="AF83" s="253" t="s">
        <v>11</v>
      </c>
      <c r="AG83" s="254"/>
      <c r="AH83" s="254"/>
      <c r="AI83" s="255"/>
      <c r="AJ83" s="26" t="s">
        <v>12</v>
      </c>
      <c r="AL83" s="256" t="s">
        <v>13</v>
      </c>
      <c r="AM83" s="257"/>
      <c r="AN83" s="257"/>
      <c r="AO83" s="258"/>
      <c r="AP83" s="27" t="s">
        <v>14</v>
      </c>
    </row>
    <row r="84" spans="2:42" ht="17.25" customHeight="1">
      <c r="B84" s="211">
        <v>3</v>
      </c>
      <c r="C84" s="213" t="s">
        <v>15</v>
      </c>
      <c r="D84" s="214"/>
      <c r="E84" s="217" t="s">
        <v>0</v>
      </c>
      <c r="F84" s="235">
        <v>31</v>
      </c>
      <c r="H84" s="211">
        <f>B84+1</f>
        <v>4</v>
      </c>
      <c r="I84" s="213" t="s">
        <v>15</v>
      </c>
      <c r="J84" s="214"/>
      <c r="K84" s="227" t="s">
        <v>52</v>
      </c>
      <c r="L84" s="229">
        <v>1</v>
      </c>
      <c r="N84" s="211">
        <f>H84+1</f>
        <v>5</v>
      </c>
      <c r="O84" s="213" t="s">
        <v>15</v>
      </c>
      <c r="P84" s="214"/>
      <c r="Q84" s="217" t="str">
        <f>K84</f>
        <v>9월</v>
      </c>
      <c r="R84" s="233">
        <f>L84+1</f>
        <v>2</v>
      </c>
      <c r="T84" s="211">
        <f>N84+1</f>
        <v>6</v>
      </c>
      <c r="U84" s="213" t="s">
        <v>15</v>
      </c>
      <c r="V84" s="214"/>
      <c r="W84" s="217" t="str">
        <f>Q84</f>
        <v>9월</v>
      </c>
      <c r="X84" s="259">
        <f>R84+1</f>
        <v>3</v>
      </c>
      <c r="Z84" s="211">
        <f>T84+1</f>
        <v>7</v>
      </c>
      <c r="AA84" s="213" t="s">
        <v>15</v>
      </c>
      <c r="AB84" s="214"/>
      <c r="AC84" s="217" t="str">
        <f>W84</f>
        <v>9월</v>
      </c>
      <c r="AD84" s="221">
        <f>X84+1</f>
        <v>4</v>
      </c>
      <c r="AF84" s="223">
        <v>1</v>
      </c>
      <c r="AG84" s="213" t="s">
        <v>15</v>
      </c>
      <c r="AH84" s="214"/>
      <c r="AI84" s="217" t="str">
        <f>AC84</f>
        <v>9월</v>
      </c>
      <c r="AJ84" s="225">
        <f>AD84+1</f>
        <v>5</v>
      </c>
      <c r="AL84" s="211">
        <f>AF84+1</f>
        <v>2</v>
      </c>
      <c r="AM84" s="213" t="s">
        <v>15</v>
      </c>
      <c r="AN84" s="214"/>
      <c r="AO84" s="217" t="str">
        <f>AI84</f>
        <v>9월</v>
      </c>
      <c r="AP84" s="219">
        <f>AJ84+1</f>
        <v>6</v>
      </c>
    </row>
    <row r="85" spans="2:42" ht="17.25" customHeight="1" thickBot="1">
      <c r="B85" s="212"/>
      <c r="C85" s="215"/>
      <c r="D85" s="216"/>
      <c r="E85" s="218"/>
      <c r="F85" s="236"/>
      <c r="H85" s="212"/>
      <c r="I85" s="215"/>
      <c r="J85" s="216"/>
      <c r="K85" s="228"/>
      <c r="L85" s="230"/>
      <c r="N85" s="212"/>
      <c r="O85" s="215"/>
      <c r="P85" s="216"/>
      <c r="Q85" s="218"/>
      <c r="R85" s="234"/>
      <c r="T85" s="212"/>
      <c r="U85" s="215"/>
      <c r="V85" s="216"/>
      <c r="W85" s="218"/>
      <c r="X85" s="260"/>
      <c r="Z85" s="212"/>
      <c r="AA85" s="215"/>
      <c r="AB85" s="216"/>
      <c r="AC85" s="218"/>
      <c r="AD85" s="222"/>
      <c r="AF85" s="224"/>
      <c r="AG85" s="215"/>
      <c r="AH85" s="216"/>
      <c r="AI85" s="218"/>
      <c r="AJ85" s="226"/>
      <c r="AL85" s="212"/>
      <c r="AM85" s="215"/>
      <c r="AN85" s="216"/>
      <c r="AO85" s="218"/>
      <c r="AP85" s="220"/>
    </row>
    <row r="86" spans="2:42" ht="17.25" customHeight="1" thickBot="1">
      <c r="B86" s="208" t="s">
        <v>16</v>
      </c>
      <c r="C86" s="209"/>
      <c r="D86" s="209"/>
      <c r="E86" s="210"/>
      <c r="F86" s="28" t="s">
        <v>17</v>
      </c>
      <c r="H86" s="208" t="s">
        <v>16</v>
      </c>
      <c r="I86" s="209"/>
      <c r="J86" s="209"/>
      <c r="K86" s="210"/>
      <c r="L86" s="29" t="s">
        <v>17</v>
      </c>
      <c r="N86" s="208" t="s">
        <v>16</v>
      </c>
      <c r="O86" s="209"/>
      <c r="P86" s="209"/>
      <c r="Q86" s="210"/>
      <c r="R86" s="30" t="s">
        <v>17</v>
      </c>
      <c r="T86" s="208" t="s">
        <v>16</v>
      </c>
      <c r="U86" s="209"/>
      <c r="V86" s="209"/>
      <c r="W86" s="210"/>
      <c r="X86" s="31" t="s">
        <v>17</v>
      </c>
      <c r="Z86" s="208" t="s">
        <v>16</v>
      </c>
      <c r="AA86" s="209"/>
      <c r="AB86" s="209"/>
      <c r="AC86" s="210"/>
      <c r="AD86" s="32" t="s">
        <v>17</v>
      </c>
      <c r="AF86" s="208" t="s">
        <v>16</v>
      </c>
      <c r="AG86" s="209"/>
      <c r="AH86" s="209"/>
      <c r="AI86" s="210"/>
      <c r="AJ86" s="33" t="s">
        <v>17</v>
      </c>
      <c r="AL86" s="208" t="s">
        <v>16</v>
      </c>
      <c r="AM86" s="209"/>
      <c r="AN86" s="209"/>
      <c r="AO86" s="210"/>
      <c r="AP86" s="34" t="s">
        <v>17</v>
      </c>
    </row>
    <row r="87" spans="2:42" ht="17.25" customHeight="1">
      <c r="B87" s="35" t="s">
        <v>18</v>
      </c>
      <c r="C87" s="36">
        <v>1.4583333333333299</v>
      </c>
      <c r="D87" s="37" t="s">
        <v>19</v>
      </c>
      <c r="E87" s="38">
        <v>1.6243055555555554</v>
      </c>
      <c r="F87" s="39" t="s">
        <v>144</v>
      </c>
      <c r="H87" s="35" t="s">
        <v>18</v>
      </c>
      <c r="I87" s="36">
        <v>1.4583333333333299</v>
      </c>
      <c r="J87" s="37" t="s">
        <v>19</v>
      </c>
      <c r="K87" s="38">
        <v>1.6243055555555554</v>
      </c>
      <c r="L87" s="40" t="s">
        <v>21</v>
      </c>
      <c r="N87" s="35" t="s">
        <v>18</v>
      </c>
      <c r="O87" s="36">
        <v>1.4583333333333299</v>
      </c>
      <c r="P87" s="37" t="s">
        <v>19</v>
      </c>
      <c r="Q87" s="38">
        <v>1.6243055555555554</v>
      </c>
      <c r="R87" s="41" t="s">
        <v>22</v>
      </c>
      <c r="T87" s="35" t="s">
        <v>18</v>
      </c>
      <c r="U87" s="36">
        <v>1.4583333333333299</v>
      </c>
      <c r="V87" s="37" t="s">
        <v>19</v>
      </c>
      <c r="W87" s="38">
        <v>1.6243055555555554</v>
      </c>
      <c r="X87" s="42" t="s">
        <v>24</v>
      </c>
      <c r="Z87" s="35" t="s">
        <v>18</v>
      </c>
      <c r="AA87" s="36">
        <v>1.4583333333333299</v>
      </c>
      <c r="AB87" s="37" t="s">
        <v>19</v>
      </c>
      <c r="AC87" s="38">
        <v>1.6243055555555554</v>
      </c>
      <c r="AD87" s="43" t="s">
        <v>25</v>
      </c>
      <c r="AF87" s="35" t="s">
        <v>18</v>
      </c>
      <c r="AG87" s="36">
        <v>1.4583333333333299</v>
      </c>
      <c r="AH87" s="37" t="s">
        <v>19</v>
      </c>
      <c r="AI87" s="38">
        <v>1.6243055555555554</v>
      </c>
      <c r="AJ87" s="44" t="s">
        <v>144</v>
      </c>
      <c r="AL87" s="35" t="s">
        <v>18</v>
      </c>
      <c r="AM87" s="36">
        <v>1.4583333333333299</v>
      </c>
      <c r="AN87" s="37" t="s">
        <v>19</v>
      </c>
      <c r="AO87" s="38">
        <v>1.6243055555555554</v>
      </c>
      <c r="AP87" s="45" t="s">
        <v>21</v>
      </c>
    </row>
    <row r="88" spans="2:42" ht="17.25" customHeight="1">
      <c r="B88" s="46" t="s">
        <v>26</v>
      </c>
      <c r="C88" s="47">
        <v>1.625</v>
      </c>
      <c r="D88" s="48" t="s">
        <v>19</v>
      </c>
      <c r="E88" s="49">
        <v>1.7909722222222224</v>
      </c>
      <c r="F88" s="50" t="s">
        <v>21</v>
      </c>
      <c r="H88" s="46" t="s">
        <v>26</v>
      </c>
      <c r="I88" s="47">
        <v>1.625</v>
      </c>
      <c r="J88" s="48" t="s">
        <v>19</v>
      </c>
      <c r="K88" s="49">
        <v>1.7909722222222224</v>
      </c>
      <c r="L88" s="51" t="s">
        <v>22</v>
      </c>
      <c r="N88" s="46" t="s">
        <v>26</v>
      </c>
      <c r="O88" s="47">
        <v>1.625</v>
      </c>
      <c r="P88" s="48" t="s">
        <v>19</v>
      </c>
      <c r="Q88" s="49">
        <v>1.7909722222222224</v>
      </c>
      <c r="R88" s="52" t="s">
        <v>24</v>
      </c>
      <c r="T88" s="46" t="s">
        <v>26</v>
      </c>
      <c r="U88" s="47">
        <v>1.625</v>
      </c>
      <c r="V88" s="48" t="s">
        <v>19</v>
      </c>
      <c r="W88" s="49">
        <v>1.7909722222222224</v>
      </c>
      <c r="X88" s="53" t="s">
        <v>25</v>
      </c>
      <c r="Z88" s="46" t="s">
        <v>26</v>
      </c>
      <c r="AA88" s="47">
        <v>1.625</v>
      </c>
      <c r="AB88" s="48" t="s">
        <v>19</v>
      </c>
      <c r="AC88" s="49">
        <v>1.7909722222222224</v>
      </c>
      <c r="AD88" s="54" t="s">
        <v>144</v>
      </c>
      <c r="AF88" s="46" t="s">
        <v>26</v>
      </c>
      <c r="AG88" s="47">
        <v>1.625</v>
      </c>
      <c r="AH88" s="48" t="s">
        <v>19</v>
      </c>
      <c r="AI88" s="49">
        <v>1.7909722222222224</v>
      </c>
      <c r="AJ88" s="55" t="s">
        <v>21</v>
      </c>
      <c r="AL88" s="46" t="s">
        <v>26</v>
      </c>
      <c r="AM88" s="47">
        <v>1.625</v>
      </c>
      <c r="AN88" s="48" t="s">
        <v>19</v>
      </c>
      <c r="AO88" s="49">
        <v>1.7909722222222224</v>
      </c>
      <c r="AP88" s="56" t="s">
        <v>22</v>
      </c>
    </row>
    <row r="89" spans="2:42" ht="17.25" customHeight="1">
      <c r="B89" s="46" t="s">
        <v>28</v>
      </c>
      <c r="C89" s="57">
        <v>1.7916666666666701</v>
      </c>
      <c r="D89" s="58" t="s">
        <v>19</v>
      </c>
      <c r="E89" s="59">
        <v>1.9576388888888889</v>
      </c>
      <c r="F89" s="50" t="s">
        <v>22</v>
      </c>
      <c r="H89" s="46" t="s">
        <v>28</v>
      </c>
      <c r="I89" s="57">
        <v>1.7916666666666701</v>
      </c>
      <c r="J89" s="58" t="s">
        <v>19</v>
      </c>
      <c r="K89" s="59">
        <v>1.9576388888888889</v>
      </c>
      <c r="L89" s="51" t="s">
        <v>24</v>
      </c>
      <c r="N89" s="46" t="s">
        <v>28</v>
      </c>
      <c r="O89" s="57">
        <v>1.7916666666666701</v>
      </c>
      <c r="P89" s="58" t="s">
        <v>19</v>
      </c>
      <c r="Q89" s="59">
        <v>1.9576388888888889</v>
      </c>
      <c r="R89" s="52" t="s">
        <v>25</v>
      </c>
      <c r="T89" s="46" t="s">
        <v>28</v>
      </c>
      <c r="U89" s="57">
        <v>1.7916666666666701</v>
      </c>
      <c r="V89" s="58" t="s">
        <v>19</v>
      </c>
      <c r="W89" s="59">
        <v>1.9576388888888889</v>
      </c>
      <c r="X89" s="53" t="s">
        <v>144</v>
      </c>
      <c r="Z89" s="46" t="s">
        <v>28</v>
      </c>
      <c r="AA89" s="57">
        <v>1.7916666666666701</v>
      </c>
      <c r="AB89" s="58" t="s">
        <v>19</v>
      </c>
      <c r="AC89" s="59">
        <v>1.9576388888888889</v>
      </c>
      <c r="AD89" s="54" t="s">
        <v>21</v>
      </c>
      <c r="AF89" s="46" t="s">
        <v>28</v>
      </c>
      <c r="AG89" s="57">
        <v>1.7916666666666701</v>
      </c>
      <c r="AH89" s="58" t="s">
        <v>19</v>
      </c>
      <c r="AI89" s="59">
        <v>1.9576388888888889</v>
      </c>
      <c r="AJ89" s="55" t="s">
        <v>22</v>
      </c>
      <c r="AL89" s="46" t="s">
        <v>28</v>
      </c>
      <c r="AM89" s="57">
        <v>1.7916666666666701</v>
      </c>
      <c r="AN89" s="58" t="s">
        <v>19</v>
      </c>
      <c r="AO89" s="59">
        <v>1.9576388888888889</v>
      </c>
      <c r="AP89" s="56" t="s">
        <v>24</v>
      </c>
    </row>
    <row r="90" spans="2:42" ht="17.25" customHeight="1">
      <c r="B90" s="60" t="s">
        <v>30</v>
      </c>
      <c r="C90" s="61">
        <v>1.9583333333333335</v>
      </c>
      <c r="D90" s="62" t="s">
        <v>19</v>
      </c>
      <c r="E90" s="63">
        <v>1.1243055555555554</v>
      </c>
      <c r="F90" s="50" t="s">
        <v>24</v>
      </c>
      <c r="H90" s="60" t="s">
        <v>30</v>
      </c>
      <c r="I90" s="61">
        <v>1.9583333333333335</v>
      </c>
      <c r="J90" s="62" t="s">
        <v>19</v>
      </c>
      <c r="K90" s="63">
        <v>1.1243055555555554</v>
      </c>
      <c r="L90" s="51" t="s">
        <v>25</v>
      </c>
      <c r="N90" s="60" t="s">
        <v>30</v>
      </c>
      <c r="O90" s="61">
        <v>1.9583333333333335</v>
      </c>
      <c r="P90" s="62" t="s">
        <v>19</v>
      </c>
      <c r="Q90" s="63">
        <v>1.1243055555555554</v>
      </c>
      <c r="R90" s="52" t="s">
        <v>144</v>
      </c>
      <c r="T90" s="60" t="s">
        <v>30</v>
      </c>
      <c r="U90" s="61">
        <v>1.9583333333333335</v>
      </c>
      <c r="V90" s="62" t="s">
        <v>19</v>
      </c>
      <c r="W90" s="63">
        <v>1.1243055555555554</v>
      </c>
      <c r="X90" s="53" t="s">
        <v>21</v>
      </c>
      <c r="Z90" s="60" t="s">
        <v>30</v>
      </c>
      <c r="AA90" s="61">
        <v>1.9583333333333335</v>
      </c>
      <c r="AB90" s="62" t="s">
        <v>19</v>
      </c>
      <c r="AC90" s="63">
        <v>1.1243055555555554</v>
      </c>
      <c r="AD90" s="54" t="s">
        <v>22</v>
      </c>
      <c r="AF90" s="60" t="s">
        <v>30</v>
      </c>
      <c r="AG90" s="61">
        <v>1.9583333333333335</v>
      </c>
      <c r="AH90" s="62" t="s">
        <v>19</v>
      </c>
      <c r="AI90" s="63">
        <v>1.1243055555555554</v>
      </c>
      <c r="AJ90" s="55" t="s">
        <v>24</v>
      </c>
      <c r="AL90" s="60" t="s">
        <v>30</v>
      </c>
      <c r="AM90" s="61">
        <v>1.9583333333333335</v>
      </c>
      <c r="AN90" s="62" t="s">
        <v>19</v>
      </c>
      <c r="AO90" s="63">
        <v>1.1243055555555554</v>
      </c>
      <c r="AP90" s="56" t="s">
        <v>25</v>
      </c>
    </row>
    <row r="91" spans="2:42" ht="17.25" customHeight="1">
      <c r="B91" s="60" t="s">
        <v>31</v>
      </c>
      <c r="C91" s="61">
        <v>1.125</v>
      </c>
      <c r="D91" s="62" t="s">
        <v>19</v>
      </c>
      <c r="E91" s="63">
        <v>1.2909722222222222</v>
      </c>
      <c r="F91" s="50" t="s">
        <v>25</v>
      </c>
      <c r="H91" s="60" t="s">
        <v>31</v>
      </c>
      <c r="I91" s="61">
        <v>1.125</v>
      </c>
      <c r="J91" s="62" t="s">
        <v>19</v>
      </c>
      <c r="K91" s="63">
        <v>1.2909722222222222</v>
      </c>
      <c r="L91" s="51" t="s">
        <v>144</v>
      </c>
      <c r="N91" s="60" t="s">
        <v>31</v>
      </c>
      <c r="O91" s="61">
        <v>1.125</v>
      </c>
      <c r="P91" s="62" t="s">
        <v>19</v>
      </c>
      <c r="Q91" s="63">
        <v>1.2909722222222222</v>
      </c>
      <c r="R91" s="52" t="s">
        <v>21</v>
      </c>
      <c r="T91" s="60" t="s">
        <v>31</v>
      </c>
      <c r="U91" s="61">
        <v>1.125</v>
      </c>
      <c r="V91" s="62" t="s">
        <v>19</v>
      </c>
      <c r="W91" s="63">
        <v>1.2909722222222222</v>
      </c>
      <c r="X91" s="53" t="s">
        <v>22</v>
      </c>
      <c r="Z91" s="60" t="s">
        <v>31</v>
      </c>
      <c r="AA91" s="61">
        <v>1.125</v>
      </c>
      <c r="AB91" s="62" t="s">
        <v>19</v>
      </c>
      <c r="AC91" s="63">
        <v>1.2909722222222222</v>
      </c>
      <c r="AD91" s="54" t="s">
        <v>24</v>
      </c>
      <c r="AF91" s="60" t="s">
        <v>31</v>
      </c>
      <c r="AG91" s="61">
        <v>1.125</v>
      </c>
      <c r="AH91" s="62" t="s">
        <v>19</v>
      </c>
      <c r="AI91" s="63">
        <v>1.2909722222222222</v>
      </c>
      <c r="AJ91" s="55" t="s">
        <v>25</v>
      </c>
      <c r="AL91" s="60" t="s">
        <v>31</v>
      </c>
      <c r="AM91" s="61">
        <v>1.125</v>
      </c>
      <c r="AN91" s="62" t="s">
        <v>19</v>
      </c>
      <c r="AO91" s="63">
        <v>1.2909722222222222</v>
      </c>
      <c r="AP91" s="56" t="s">
        <v>144</v>
      </c>
    </row>
    <row r="92" spans="2:42" s="80" customFormat="1" ht="17.25" customHeight="1" thickBot="1">
      <c r="B92" s="75" t="s">
        <v>33</v>
      </c>
      <c r="C92" s="76">
        <v>1.2916666666666667</v>
      </c>
      <c r="D92" s="77" t="s">
        <v>19</v>
      </c>
      <c r="E92" s="78">
        <v>1.4576388888888889</v>
      </c>
      <c r="F92" s="79" t="str">
        <f>F87</f>
        <v>아미고훈련</v>
      </c>
      <c r="H92" s="75" t="s">
        <v>33</v>
      </c>
      <c r="I92" s="76">
        <v>1.2916666666666667</v>
      </c>
      <c r="J92" s="77" t="s">
        <v>19</v>
      </c>
      <c r="K92" s="78">
        <v>1.4576388888888889</v>
      </c>
      <c r="L92" s="81" t="str">
        <f>L87</f>
        <v>기술연구</v>
      </c>
      <c r="N92" s="75" t="s">
        <v>33</v>
      </c>
      <c r="O92" s="76">
        <v>1.2916666666666667</v>
      </c>
      <c r="P92" s="77" t="s">
        <v>19</v>
      </c>
      <c r="Q92" s="78">
        <v>1.4576388888888889</v>
      </c>
      <c r="R92" s="82" t="str">
        <f>R87</f>
        <v>AP소모</v>
      </c>
      <c r="T92" s="75" t="s">
        <v>33</v>
      </c>
      <c r="U92" s="76">
        <v>1.2916666666666667</v>
      </c>
      <c r="V92" s="77" t="s">
        <v>19</v>
      </c>
      <c r="W92" s="78">
        <v>1.4576388888888889</v>
      </c>
      <c r="X92" s="83" t="str">
        <f>X87</f>
        <v>펠몬강화</v>
      </c>
      <c r="Z92" s="75" t="s">
        <v>33</v>
      </c>
      <c r="AA92" s="76">
        <v>1.2916666666666667</v>
      </c>
      <c r="AB92" s="77" t="s">
        <v>19</v>
      </c>
      <c r="AC92" s="78">
        <v>1.4576388888888889</v>
      </c>
      <c r="AD92" s="84" t="str">
        <f>AD87</f>
        <v>건물레벨업</v>
      </c>
      <c r="AF92" s="75" t="s">
        <v>33</v>
      </c>
      <c r="AG92" s="76">
        <v>1.2916666666666667</v>
      </c>
      <c r="AH92" s="77" t="s">
        <v>19</v>
      </c>
      <c r="AI92" s="78">
        <v>1.4576388888888889</v>
      </c>
      <c r="AJ92" s="85" t="str">
        <f>AJ87</f>
        <v>아미고훈련</v>
      </c>
      <c r="AL92" s="75" t="s">
        <v>33</v>
      </c>
      <c r="AM92" s="76">
        <v>1.2916666666666667</v>
      </c>
      <c r="AN92" s="77" t="s">
        <v>19</v>
      </c>
      <c r="AO92" s="78">
        <v>1.4576388888888889</v>
      </c>
      <c r="AP92" s="86" t="str">
        <f>AP87</f>
        <v>기술연구</v>
      </c>
    </row>
    <row r="93" spans="2:42" ht="6" customHeight="1" thickBot="1"/>
    <row r="94" spans="2:42" s="21" customFormat="1" ht="17.25" customHeight="1" thickBot="1">
      <c r="B94" s="238" t="s">
        <v>1</v>
      </c>
      <c r="C94" s="239"/>
      <c r="D94" s="239"/>
      <c r="E94" s="240"/>
      <c r="F94" s="20" t="s">
        <v>2</v>
      </c>
      <c r="H94" s="241" t="s">
        <v>3</v>
      </c>
      <c r="I94" s="242"/>
      <c r="J94" s="242"/>
      <c r="K94" s="243"/>
      <c r="L94" s="22" t="s">
        <v>4</v>
      </c>
      <c r="N94" s="244" t="s">
        <v>5</v>
      </c>
      <c r="O94" s="245"/>
      <c r="P94" s="245"/>
      <c r="Q94" s="246"/>
      <c r="R94" s="23" t="s">
        <v>6</v>
      </c>
      <c r="T94" s="247" t="s">
        <v>7</v>
      </c>
      <c r="U94" s="248"/>
      <c r="V94" s="248"/>
      <c r="W94" s="249"/>
      <c r="X94" s="24" t="s">
        <v>8</v>
      </c>
      <c r="Z94" s="250" t="s">
        <v>9</v>
      </c>
      <c r="AA94" s="251"/>
      <c r="AB94" s="251"/>
      <c r="AC94" s="252"/>
      <c r="AD94" s="25" t="s">
        <v>10</v>
      </c>
      <c r="AF94" s="253" t="s">
        <v>11</v>
      </c>
      <c r="AG94" s="254"/>
      <c r="AH94" s="254"/>
      <c r="AI94" s="255"/>
      <c r="AJ94" s="26" t="s">
        <v>12</v>
      </c>
      <c r="AL94" s="256" t="s">
        <v>13</v>
      </c>
      <c r="AM94" s="257"/>
      <c r="AN94" s="257"/>
      <c r="AO94" s="258"/>
      <c r="AP94" s="27" t="s">
        <v>14</v>
      </c>
    </row>
    <row r="95" spans="2:42" ht="17.25" customHeight="1">
      <c r="B95" s="211">
        <v>3</v>
      </c>
      <c r="C95" s="213" t="s">
        <v>15</v>
      </c>
      <c r="D95" s="214"/>
      <c r="E95" s="217" t="s">
        <v>52</v>
      </c>
      <c r="F95" s="235">
        <v>7</v>
      </c>
      <c r="H95" s="211">
        <f>B95+1</f>
        <v>4</v>
      </c>
      <c r="I95" s="213" t="s">
        <v>15</v>
      </c>
      <c r="J95" s="214"/>
      <c r="K95" s="217" t="str">
        <f>E95</f>
        <v>9월</v>
      </c>
      <c r="L95" s="231">
        <f>F95+1</f>
        <v>8</v>
      </c>
      <c r="N95" s="211">
        <f>H95+1</f>
        <v>5</v>
      </c>
      <c r="O95" s="213" t="s">
        <v>15</v>
      </c>
      <c r="P95" s="214"/>
      <c r="Q95" s="217" t="str">
        <f>K95</f>
        <v>9월</v>
      </c>
      <c r="R95" s="233">
        <f>L95+1</f>
        <v>9</v>
      </c>
      <c r="T95" s="211">
        <f>N95+1</f>
        <v>6</v>
      </c>
      <c r="U95" s="213" t="s">
        <v>15</v>
      </c>
      <c r="V95" s="214"/>
      <c r="W95" s="217" t="str">
        <f>Q95</f>
        <v>9월</v>
      </c>
      <c r="X95" s="259">
        <f>R95+1</f>
        <v>10</v>
      </c>
      <c r="Z95" s="211">
        <f>T95+1</f>
        <v>7</v>
      </c>
      <c r="AA95" s="213" t="s">
        <v>15</v>
      </c>
      <c r="AB95" s="214"/>
      <c r="AC95" s="217" t="str">
        <f>W95</f>
        <v>9월</v>
      </c>
      <c r="AD95" s="221">
        <f>X95+1</f>
        <v>11</v>
      </c>
      <c r="AF95" s="223">
        <v>1</v>
      </c>
      <c r="AG95" s="213" t="s">
        <v>15</v>
      </c>
      <c r="AH95" s="214"/>
      <c r="AI95" s="217" t="str">
        <f>AC95</f>
        <v>9월</v>
      </c>
      <c r="AJ95" s="225">
        <f>AD95+1</f>
        <v>12</v>
      </c>
      <c r="AL95" s="211">
        <f>AF95+1</f>
        <v>2</v>
      </c>
      <c r="AM95" s="213" t="s">
        <v>15</v>
      </c>
      <c r="AN95" s="214"/>
      <c r="AO95" s="217" t="str">
        <f>AI95</f>
        <v>9월</v>
      </c>
      <c r="AP95" s="219">
        <f>AJ95+1</f>
        <v>13</v>
      </c>
    </row>
    <row r="96" spans="2:42" ht="17.25" customHeight="1" thickBot="1">
      <c r="B96" s="212"/>
      <c r="C96" s="215"/>
      <c r="D96" s="216"/>
      <c r="E96" s="218"/>
      <c r="F96" s="236"/>
      <c r="H96" s="212"/>
      <c r="I96" s="215"/>
      <c r="J96" s="216"/>
      <c r="K96" s="218"/>
      <c r="L96" s="232"/>
      <c r="N96" s="212"/>
      <c r="O96" s="215"/>
      <c r="P96" s="216"/>
      <c r="Q96" s="218"/>
      <c r="R96" s="234"/>
      <c r="T96" s="212"/>
      <c r="U96" s="215"/>
      <c r="V96" s="216"/>
      <c r="W96" s="218"/>
      <c r="X96" s="260"/>
      <c r="Z96" s="212"/>
      <c r="AA96" s="215"/>
      <c r="AB96" s="216"/>
      <c r="AC96" s="218"/>
      <c r="AD96" s="222"/>
      <c r="AF96" s="224"/>
      <c r="AG96" s="215"/>
      <c r="AH96" s="216"/>
      <c r="AI96" s="218"/>
      <c r="AJ96" s="226"/>
      <c r="AL96" s="212"/>
      <c r="AM96" s="215"/>
      <c r="AN96" s="216"/>
      <c r="AO96" s="218"/>
      <c r="AP96" s="220"/>
    </row>
    <row r="97" spans="2:42" ht="17.25" customHeight="1" thickBot="1">
      <c r="B97" s="208" t="s">
        <v>16</v>
      </c>
      <c r="C97" s="209"/>
      <c r="D97" s="209"/>
      <c r="E97" s="210"/>
      <c r="F97" s="28" t="s">
        <v>17</v>
      </c>
      <c r="H97" s="208" t="s">
        <v>16</v>
      </c>
      <c r="I97" s="209"/>
      <c r="J97" s="209"/>
      <c r="K97" s="210"/>
      <c r="L97" s="29" t="s">
        <v>17</v>
      </c>
      <c r="N97" s="208" t="s">
        <v>16</v>
      </c>
      <c r="O97" s="209"/>
      <c r="P97" s="209"/>
      <c r="Q97" s="210"/>
      <c r="R97" s="30" t="s">
        <v>17</v>
      </c>
      <c r="T97" s="208" t="s">
        <v>16</v>
      </c>
      <c r="U97" s="209"/>
      <c r="V97" s="209"/>
      <c r="W97" s="210"/>
      <c r="X97" s="31" t="s">
        <v>17</v>
      </c>
      <c r="Z97" s="208" t="s">
        <v>16</v>
      </c>
      <c r="AA97" s="209"/>
      <c r="AB97" s="209"/>
      <c r="AC97" s="210"/>
      <c r="AD97" s="32" t="s">
        <v>17</v>
      </c>
      <c r="AF97" s="208" t="s">
        <v>16</v>
      </c>
      <c r="AG97" s="209"/>
      <c r="AH97" s="209"/>
      <c r="AI97" s="210"/>
      <c r="AJ97" s="33" t="s">
        <v>17</v>
      </c>
      <c r="AL97" s="208" t="s">
        <v>16</v>
      </c>
      <c r="AM97" s="209"/>
      <c r="AN97" s="209"/>
      <c r="AO97" s="210"/>
      <c r="AP97" s="34" t="s">
        <v>17</v>
      </c>
    </row>
    <row r="98" spans="2:42" ht="17.25" customHeight="1">
      <c r="B98" s="35" t="s">
        <v>18</v>
      </c>
      <c r="C98" s="36">
        <v>1.4583333333333299</v>
      </c>
      <c r="D98" s="37" t="s">
        <v>19</v>
      </c>
      <c r="E98" s="38">
        <v>1.6243055555555554</v>
      </c>
      <c r="F98" s="39" t="s">
        <v>144</v>
      </c>
      <c r="H98" s="35" t="s">
        <v>18</v>
      </c>
      <c r="I98" s="36">
        <v>1.4583333333333299</v>
      </c>
      <c r="J98" s="37" t="s">
        <v>19</v>
      </c>
      <c r="K98" s="38">
        <v>1.6243055555555554</v>
      </c>
      <c r="L98" s="40" t="s">
        <v>21</v>
      </c>
      <c r="N98" s="35" t="s">
        <v>18</v>
      </c>
      <c r="O98" s="36">
        <v>1.4583333333333299</v>
      </c>
      <c r="P98" s="37" t="s">
        <v>19</v>
      </c>
      <c r="Q98" s="38">
        <v>1.6243055555555554</v>
      </c>
      <c r="R98" s="41" t="s">
        <v>22</v>
      </c>
      <c r="T98" s="35" t="s">
        <v>18</v>
      </c>
      <c r="U98" s="36">
        <v>1.4583333333333299</v>
      </c>
      <c r="V98" s="37" t="s">
        <v>19</v>
      </c>
      <c r="W98" s="38">
        <v>1.6243055555555554</v>
      </c>
      <c r="X98" s="42" t="s">
        <v>24</v>
      </c>
      <c r="Z98" s="35" t="s">
        <v>18</v>
      </c>
      <c r="AA98" s="36">
        <v>1.4583333333333299</v>
      </c>
      <c r="AB98" s="37" t="s">
        <v>19</v>
      </c>
      <c r="AC98" s="38">
        <v>1.6243055555555554</v>
      </c>
      <c r="AD98" s="43" t="s">
        <v>25</v>
      </c>
      <c r="AF98" s="35" t="s">
        <v>18</v>
      </c>
      <c r="AG98" s="36">
        <v>1.4583333333333299</v>
      </c>
      <c r="AH98" s="37" t="s">
        <v>19</v>
      </c>
      <c r="AI98" s="38">
        <v>1.6243055555555554</v>
      </c>
      <c r="AJ98" s="44" t="s">
        <v>144</v>
      </c>
      <c r="AL98" s="35" t="s">
        <v>18</v>
      </c>
      <c r="AM98" s="36">
        <v>1.4583333333333299</v>
      </c>
      <c r="AN98" s="37" t="s">
        <v>19</v>
      </c>
      <c r="AO98" s="38">
        <v>1.6243055555555554</v>
      </c>
      <c r="AP98" s="45" t="s">
        <v>21</v>
      </c>
    </row>
    <row r="99" spans="2:42" ht="17.25" customHeight="1">
      <c r="B99" s="46" t="s">
        <v>26</v>
      </c>
      <c r="C99" s="47">
        <v>1.625</v>
      </c>
      <c r="D99" s="48" t="s">
        <v>19</v>
      </c>
      <c r="E99" s="49">
        <v>1.7909722222222224</v>
      </c>
      <c r="F99" s="50" t="s">
        <v>21</v>
      </c>
      <c r="H99" s="46" t="s">
        <v>26</v>
      </c>
      <c r="I99" s="47">
        <v>1.625</v>
      </c>
      <c r="J99" s="48" t="s">
        <v>19</v>
      </c>
      <c r="K99" s="49">
        <v>1.7909722222222224</v>
      </c>
      <c r="L99" s="51" t="s">
        <v>22</v>
      </c>
      <c r="N99" s="46" t="s">
        <v>26</v>
      </c>
      <c r="O99" s="47">
        <v>1.625</v>
      </c>
      <c r="P99" s="48" t="s">
        <v>19</v>
      </c>
      <c r="Q99" s="49">
        <v>1.7909722222222224</v>
      </c>
      <c r="R99" s="52" t="s">
        <v>24</v>
      </c>
      <c r="T99" s="46" t="s">
        <v>26</v>
      </c>
      <c r="U99" s="47">
        <v>1.625</v>
      </c>
      <c r="V99" s="48" t="s">
        <v>19</v>
      </c>
      <c r="W99" s="49">
        <v>1.7909722222222224</v>
      </c>
      <c r="X99" s="53" t="s">
        <v>25</v>
      </c>
      <c r="Z99" s="46" t="s">
        <v>26</v>
      </c>
      <c r="AA99" s="47">
        <v>1.625</v>
      </c>
      <c r="AB99" s="48" t="s">
        <v>19</v>
      </c>
      <c r="AC99" s="49">
        <v>1.7909722222222224</v>
      </c>
      <c r="AD99" s="54" t="s">
        <v>144</v>
      </c>
      <c r="AF99" s="46" t="s">
        <v>26</v>
      </c>
      <c r="AG99" s="47">
        <v>1.625</v>
      </c>
      <c r="AH99" s="48" t="s">
        <v>19</v>
      </c>
      <c r="AI99" s="49">
        <v>1.7909722222222224</v>
      </c>
      <c r="AJ99" s="55" t="s">
        <v>21</v>
      </c>
      <c r="AL99" s="46" t="s">
        <v>26</v>
      </c>
      <c r="AM99" s="47">
        <v>1.625</v>
      </c>
      <c r="AN99" s="48" t="s">
        <v>19</v>
      </c>
      <c r="AO99" s="49">
        <v>1.7909722222222224</v>
      </c>
      <c r="AP99" s="56" t="s">
        <v>22</v>
      </c>
    </row>
    <row r="100" spans="2:42" ht="17.25" customHeight="1">
      <c r="B100" s="46" t="s">
        <v>28</v>
      </c>
      <c r="C100" s="57">
        <v>1.7916666666666701</v>
      </c>
      <c r="D100" s="58" t="s">
        <v>19</v>
      </c>
      <c r="E100" s="59">
        <v>1.9576388888888889</v>
      </c>
      <c r="F100" s="50" t="s">
        <v>22</v>
      </c>
      <c r="H100" s="46" t="s">
        <v>28</v>
      </c>
      <c r="I100" s="57">
        <v>1.7916666666666701</v>
      </c>
      <c r="J100" s="58" t="s">
        <v>19</v>
      </c>
      <c r="K100" s="59">
        <v>1.9576388888888889</v>
      </c>
      <c r="L100" s="51" t="s">
        <v>24</v>
      </c>
      <c r="N100" s="46" t="s">
        <v>28</v>
      </c>
      <c r="O100" s="57">
        <v>1.7916666666666701</v>
      </c>
      <c r="P100" s="58" t="s">
        <v>19</v>
      </c>
      <c r="Q100" s="59">
        <v>1.9576388888888889</v>
      </c>
      <c r="R100" s="52" t="s">
        <v>25</v>
      </c>
      <c r="T100" s="46" t="s">
        <v>28</v>
      </c>
      <c r="U100" s="57">
        <v>1.7916666666666701</v>
      </c>
      <c r="V100" s="58" t="s">
        <v>19</v>
      </c>
      <c r="W100" s="59">
        <v>1.9576388888888889</v>
      </c>
      <c r="X100" s="53" t="s">
        <v>144</v>
      </c>
      <c r="Z100" s="46" t="s">
        <v>28</v>
      </c>
      <c r="AA100" s="57">
        <v>1.7916666666666701</v>
      </c>
      <c r="AB100" s="58" t="s">
        <v>19</v>
      </c>
      <c r="AC100" s="59">
        <v>1.9576388888888889</v>
      </c>
      <c r="AD100" s="54" t="s">
        <v>21</v>
      </c>
      <c r="AF100" s="46" t="s">
        <v>28</v>
      </c>
      <c r="AG100" s="57">
        <v>1.7916666666666701</v>
      </c>
      <c r="AH100" s="58" t="s">
        <v>19</v>
      </c>
      <c r="AI100" s="59">
        <v>1.9576388888888889</v>
      </c>
      <c r="AJ100" s="55" t="s">
        <v>22</v>
      </c>
      <c r="AL100" s="46" t="s">
        <v>28</v>
      </c>
      <c r="AM100" s="57">
        <v>1.7916666666666701</v>
      </c>
      <c r="AN100" s="58" t="s">
        <v>19</v>
      </c>
      <c r="AO100" s="59">
        <v>1.9576388888888889</v>
      </c>
      <c r="AP100" s="56" t="s">
        <v>24</v>
      </c>
    </row>
    <row r="101" spans="2:42" ht="17.25" customHeight="1">
      <c r="B101" s="60" t="s">
        <v>30</v>
      </c>
      <c r="C101" s="61">
        <v>1.9583333333333335</v>
      </c>
      <c r="D101" s="62" t="s">
        <v>19</v>
      </c>
      <c r="E101" s="63">
        <v>1.1243055555555554</v>
      </c>
      <c r="F101" s="50" t="s">
        <v>24</v>
      </c>
      <c r="H101" s="60" t="s">
        <v>30</v>
      </c>
      <c r="I101" s="61">
        <v>1.9583333333333335</v>
      </c>
      <c r="J101" s="62" t="s">
        <v>19</v>
      </c>
      <c r="K101" s="63">
        <v>1.1243055555555554</v>
      </c>
      <c r="L101" s="51" t="s">
        <v>25</v>
      </c>
      <c r="N101" s="60" t="s">
        <v>30</v>
      </c>
      <c r="O101" s="61">
        <v>1.9583333333333335</v>
      </c>
      <c r="P101" s="62" t="s">
        <v>19</v>
      </c>
      <c r="Q101" s="63">
        <v>1.1243055555555554</v>
      </c>
      <c r="R101" s="52" t="s">
        <v>144</v>
      </c>
      <c r="T101" s="60" t="s">
        <v>30</v>
      </c>
      <c r="U101" s="61">
        <v>1.9583333333333335</v>
      </c>
      <c r="V101" s="62" t="s">
        <v>19</v>
      </c>
      <c r="W101" s="63">
        <v>1.1243055555555554</v>
      </c>
      <c r="X101" s="53" t="s">
        <v>21</v>
      </c>
      <c r="Z101" s="60" t="s">
        <v>30</v>
      </c>
      <c r="AA101" s="61">
        <v>1.9583333333333335</v>
      </c>
      <c r="AB101" s="62" t="s">
        <v>19</v>
      </c>
      <c r="AC101" s="63">
        <v>1.1243055555555554</v>
      </c>
      <c r="AD101" s="54" t="s">
        <v>22</v>
      </c>
      <c r="AF101" s="60" t="s">
        <v>30</v>
      </c>
      <c r="AG101" s="61">
        <v>1.9583333333333335</v>
      </c>
      <c r="AH101" s="62" t="s">
        <v>19</v>
      </c>
      <c r="AI101" s="63">
        <v>1.1243055555555554</v>
      </c>
      <c r="AJ101" s="55" t="s">
        <v>24</v>
      </c>
      <c r="AL101" s="60" t="s">
        <v>30</v>
      </c>
      <c r="AM101" s="61">
        <v>1.9583333333333335</v>
      </c>
      <c r="AN101" s="62" t="s">
        <v>19</v>
      </c>
      <c r="AO101" s="63">
        <v>1.1243055555555554</v>
      </c>
      <c r="AP101" s="56" t="s">
        <v>25</v>
      </c>
    </row>
    <row r="102" spans="2:42" ht="17.25" customHeight="1">
      <c r="B102" s="60" t="s">
        <v>31</v>
      </c>
      <c r="C102" s="61">
        <v>1.125</v>
      </c>
      <c r="D102" s="62" t="s">
        <v>19</v>
      </c>
      <c r="E102" s="63">
        <v>1.2909722222222222</v>
      </c>
      <c r="F102" s="50" t="s">
        <v>25</v>
      </c>
      <c r="H102" s="60" t="s">
        <v>31</v>
      </c>
      <c r="I102" s="61">
        <v>1.125</v>
      </c>
      <c r="J102" s="62" t="s">
        <v>19</v>
      </c>
      <c r="K102" s="63">
        <v>1.2909722222222222</v>
      </c>
      <c r="L102" s="51" t="s">
        <v>144</v>
      </c>
      <c r="N102" s="60" t="s">
        <v>31</v>
      </c>
      <c r="O102" s="61">
        <v>1.125</v>
      </c>
      <c r="P102" s="62" t="s">
        <v>19</v>
      </c>
      <c r="Q102" s="63">
        <v>1.2909722222222222</v>
      </c>
      <c r="R102" s="52" t="s">
        <v>21</v>
      </c>
      <c r="T102" s="60" t="s">
        <v>31</v>
      </c>
      <c r="U102" s="61">
        <v>1.125</v>
      </c>
      <c r="V102" s="62" t="s">
        <v>19</v>
      </c>
      <c r="W102" s="63">
        <v>1.2909722222222222</v>
      </c>
      <c r="X102" s="53" t="s">
        <v>22</v>
      </c>
      <c r="Z102" s="60" t="s">
        <v>31</v>
      </c>
      <c r="AA102" s="61">
        <v>1.125</v>
      </c>
      <c r="AB102" s="62" t="s">
        <v>19</v>
      </c>
      <c r="AC102" s="63">
        <v>1.2909722222222222</v>
      </c>
      <c r="AD102" s="54" t="s">
        <v>24</v>
      </c>
      <c r="AF102" s="60" t="s">
        <v>31</v>
      </c>
      <c r="AG102" s="61">
        <v>1.125</v>
      </c>
      <c r="AH102" s="62" t="s">
        <v>19</v>
      </c>
      <c r="AI102" s="63">
        <v>1.2909722222222222</v>
      </c>
      <c r="AJ102" s="55" t="s">
        <v>25</v>
      </c>
      <c r="AL102" s="60" t="s">
        <v>31</v>
      </c>
      <c r="AM102" s="61">
        <v>1.125</v>
      </c>
      <c r="AN102" s="62" t="s">
        <v>19</v>
      </c>
      <c r="AO102" s="63">
        <v>1.2909722222222222</v>
      </c>
      <c r="AP102" s="56" t="s">
        <v>144</v>
      </c>
    </row>
    <row r="103" spans="2:42" s="80" customFormat="1" ht="17.25" customHeight="1" thickBot="1">
      <c r="B103" s="75" t="s">
        <v>33</v>
      </c>
      <c r="C103" s="76">
        <v>1.2916666666666667</v>
      </c>
      <c r="D103" s="77" t="s">
        <v>19</v>
      </c>
      <c r="E103" s="78">
        <v>1.4576388888888889</v>
      </c>
      <c r="F103" s="79" t="str">
        <f>F98</f>
        <v>아미고훈련</v>
      </c>
      <c r="H103" s="75" t="s">
        <v>33</v>
      </c>
      <c r="I103" s="76">
        <v>1.2916666666666667</v>
      </c>
      <c r="J103" s="77" t="s">
        <v>19</v>
      </c>
      <c r="K103" s="78">
        <v>1.4576388888888889</v>
      </c>
      <c r="L103" s="81" t="str">
        <f>L98</f>
        <v>기술연구</v>
      </c>
      <c r="N103" s="75" t="s">
        <v>33</v>
      </c>
      <c r="O103" s="76">
        <v>1.2916666666666667</v>
      </c>
      <c r="P103" s="77" t="s">
        <v>19</v>
      </c>
      <c r="Q103" s="78">
        <v>1.4576388888888889</v>
      </c>
      <c r="R103" s="82" t="str">
        <f>R98</f>
        <v>AP소모</v>
      </c>
      <c r="T103" s="75" t="s">
        <v>33</v>
      </c>
      <c r="U103" s="76">
        <v>1.2916666666666667</v>
      </c>
      <c r="V103" s="77" t="s">
        <v>19</v>
      </c>
      <c r="W103" s="78">
        <v>1.4576388888888889</v>
      </c>
      <c r="X103" s="83" t="str">
        <f>X98</f>
        <v>펠몬강화</v>
      </c>
      <c r="Z103" s="75" t="s">
        <v>33</v>
      </c>
      <c r="AA103" s="76">
        <v>1.2916666666666667</v>
      </c>
      <c r="AB103" s="77" t="s">
        <v>19</v>
      </c>
      <c r="AC103" s="78">
        <v>1.4576388888888889</v>
      </c>
      <c r="AD103" s="84" t="str">
        <f>AD98</f>
        <v>건물레벨업</v>
      </c>
      <c r="AF103" s="75" t="s">
        <v>33</v>
      </c>
      <c r="AG103" s="76">
        <v>1.2916666666666667</v>
      </c>
      <c r="AH103" s="77" t="s">
        <v>19</v>
      </c>
      <c r="AI103" s="78">
        <v>1.4576388888888889</v>
      </c>
      <c r="AJ103" s="85" t="str">
        <f>AJ98</f>
        <v>아미고훈련</v>
      </c>
      <c r="AL103" s="75" t="s">
        <v>33</v>
      </c>
      <c r="AM103" s="76">
        <v>1.2916666666666667</v>
      </c>
      <c r="AN103" s="77" t="s">
        <v>19</v>
      </c>
      <c r="AO103" s="78">
        <v>1.4576388888888889</v>
      </c>
      <c r="AP103" s="86" t="str">
        <f>AP98</f>
        <v>기술연구</v>
      </c>
    </row>
    <row r="104" spans="2:42" ht="6" customHeight="1" thickBot="1"/>
    <row r="105" spans="2:42" s="21" customFormat="1" ht="17.25" customHeight="1" thickBot="1">
      <c r="B105" s="238" t="s">
        <v>1</v>
      </c>
      <c r="C105" s="239"/>
      <c r="D105" s="239"/>
      <c r="E105" s="240"/>
      <c r="F105" s="20" t="s">
        <v>2</v>
      </c>
      <c r="H105" s="241" t="s">
        <v>3</v>
      </c>
      <c r="I105" s="242"/>
      <c r="J105" s="242"/>
      <c r="K105" s="243"/>
      <c r="L105" s="22" t="s">
        <v>4</v>
      </c>
      <c r="N105" s="244" t="s">
        <v>5</v>
      </c>
      <c r="O105" s="245"/>
      <c r="P105" s="245"/>
      <c r="Q105" s="246"/>
      <c r="R105" s="23" t="s">
        <v>6</v>
      </c>
      <c r="T105" s="247" t="s">
        <v>7</v>
      </c>
      <c r="U105" s="248"/>
      <c r="V105" s="248"/>
      <c r="W105" s="249"/>
      <c r="X105" s="24" t="s">
        <v>8</v>
      </c>
      <c r="Z105" s="250" t="s">
        <v>9</v>
      </c>
      <c r="AA105" s="251"/>
      <c r="AB105" s="251"/>
      <c r="AC105" s="252"/>
      <c r="AD105" s="25" t="s">
        <v>10</v>
      </c>
      <c r="AF105" s="253" t="s">
        <v>11</v>
      </c>
      <c r="AG105" s="254"/>
      <c r="AH105" s="254"/>
      <c r="AI105" s="255"/>
      <c r="AJ105" s="26" t="s">
        <v>12</v>
      </c>
      <c r="AL105" s="256" t="s">
        <v>13</v>
      </c>
      <c r="AM105" s="257"/>
      <c r="AN105" s="257"/>
      <c r="AO105" s="258"/>
      <c r="AP105" s="27" t="s">
        <v>14</v>
      </c>
    </row>
    <row r="106" spans="2:42" ht="17.25" customHeight="1">
      <c r="B106" s="211">
        <v>3</v>
      </c>
      <c r="C106" s="213" t="s">
        <v>15</v>
      </c>
      <c r="D106" s="214"/>
      <c r="E106" s="217" t="s">
        <v>52</v>
      </c>
      <c r="F106" s="235">
        <v>14</v>
      </c>
      <c r="H106" s="211">
        <f>B106+1</f>
        <v>4</v>
      </c>
      <c r="I106" s="213" t="s">
        <v>15</v>
      </c>
      <c r="J106" s="214"/>
      <c r="K106" s="217" t="str">
        <f>E106</f>
        <v>9월</v>
      </c>
      <c r="L106" s="231">
        <f>F106+1</f>
        <v>15</v>
      </c>
      <c r="N106" s="211">
        <f>H106+1</f>
        <v>5</v>
      </c>
      <c r="O106" s="213" t="s">
        <v>15</v>
      </c>
      <c r="P106" s="214"/>
      <c r="Q106" s="217" t="str">
        <f>K106</f>
        <v>9월</v>
      </c>
      <c r="R106" s="233">
        <f>L106+1</f>
        <v>16</v>
      </c>
      <c r="T106" s="211">
        <f>N106+1</f>
        <v>6</v>
      </c>
      <c r="U106" s="213" t="s">
        <v>15</v>
      </c>
      <c r="V106" s="214"/>
      <c r="W106" s="217" t="str">
        <f>Q106</f>
        <v>9월</v>
      </c>
      <c r="X106" s="259">
        <f>R106+1</f>
        <v>17</v>
      </c>
      <c r="Z106" s="211">
        <f>T106+1</f>
        <v>7</v>
      </c>
      <c r="AA106" s="213" t="s">
        <v>15</v>
      </c>
      <c r="AB106" s="214"/>
      <c r="AC106" s="217" t="str">
        <f>W106</f>
        <v>9월</v>
      </c>
      <c r="AD106" s="221">
        <f>X106+1</f>
        <v>18</v>
      </c>
      <c r="AF106" s="223">
        <v>1</v>
      </c>
      <c r="AG106" s="213" t="s">
        <v>15</v>
      </c>
      <c r="AH106" s="214"/>
      <c r="AI106" s="217" t="str">
        <f>AC106</f>
        <v>9월</v>
      </c>
      <c r="AJ106" s="225">
        <f>AD106+1</f>
        <v>19</v>
      </c>
      <c r="AL106" s="211">
        <f>AF106+1</f>
        <v>2</v>
      </c>
      <c r="AM106" s="213" t="s">
        <v>15</v>
      </c>
      <c r="AN106" s="214"/>
      <c r="AO106" s="217" t="str">
        <f>AI106</f>
        <v>9월</v>
      </c>
      <c r="AP106" s="219">
        <f>AJ106+1</f>
        <v>20</v>
      </c>
    </row>
    <row r="107" spans="2:42" ht="17.25" customHeight="1" thickBot="1">
      <c r="B107" s="212"/>
      <c r="C107" s="215"/>
      <c r="D107" s="216"/>
      <c r="E107" s="218"/>
      <c r="F107" s="236"/>
      <c r="H107" s="212"/>
      <c r="I107" s="215"/>
      <c r="J107" s="216"/>
      <c r="K107" s="218"/>
      <c r="L107" s="232"/>
      <c r="N107" s="212"/>
      <c r="O107" s="215"/>
      <c r="P107" s="216"/>
      <c r="Q107" s="218"/>
      <c r="R107" s="234"/>
      <c r="T107" s="212"/>
      <c r="U107" s="215"/>
      <c r="V107" s="216"/>
      <c r="W107" s="218"/>
      <c r="X107" s="260"/>
      <c r="Z107" s="212"/>
      <c r="AA107" s="215"/>
      <c r="AB107" s="216"/>
      <c r="AC107" s="218"/>
      <c r="AD107" s="222"/>
      <c r="AF107" s="224"/>
      <c r="AG107" s="215"/>
      <c r="AH107" s="216"/>
      <c r="AI107" s="218"/>
      <c r="AJ107" s="226"/>
      <c r="AL107" s="212"/>
      <c r="AM107" s="215"/>
      <c r="AN107" s="216"/>
      <c r="AO107" s="218"/>
      <c r="AP107" s="220"/>
    </row>
    <row r="108" spans="2:42" ht="17.25" customHeight="1" thickBot="1">
      <c r="B108" s="208" t="s">
        <v>16</v>
      </c>
      <c r="C108" s="209"/>
      <c r="D108" s="209"/>
      <c r="E108" s="210"/>
      <c r="F108" s="28" t="s">
        <v>17</v>
      </c>
      <c r="H108" s="208" t="s">
        <v>16</v>
      </c>
      <c r="I108" s="209"/>
      <c r="J108" s="209"/>
      <c r="K108" s="210"/>
      <c r="L108" s="29" t="s">
        <v>17</v>
      </c>
      <c r="N108" s="208" t="s">
        <v>16</v>
      </c>
      <c r="O108" s="209"/>
      <c r="P108" s="209"/>
      <c r="Q108" s="210"/>
      <c r="R108" s="30" t="s">
        <v>17</v>
      </c>
      <c r="T108" s="208" t="s">
        <v>16</v>
      </c>
      <c r="U108" s="209"/>
      <c r="V108" s="209"/>
      <c r="W108" s="210"/>
      <c r="X108" s="31" t="s">
        <v>17</v>
      </c>
      <c r="Z108" s="208" t="s">
        <v>16</v>
      </c>
      <c r="AA108" s="209"/>
      <c r="AB108" s="209"/>
      <c r="AC108" s="210"/>
      <c r="AD108" s="32" t="s">
        <v>17</v>
      </c>
      <c r="AF108" s="208" t="s">
        <v>16</v>
      </c>
      <c r="AG108" s="209"/>
      <c r="AH108" s="209"/>
      <c r="AI108" s="210"/>
      <c r="AJ108" s="33" t="s">
        <v>17</v>
      </c>
      <c r="AL108" s="208" t="s">
        <v>16</v>
      </c>
      <c r="AM108" s="209"/>
      <c r="AN108" s="209"/>
      <c r="AO108" s="210"/>
      <c r="AP108" s="34" t="s">
        <v>17</v>
      </c>
    </row>
    <row r="109" spans="2:42" ht="17.25" customHeight="1">
      <c r="B109" s="35" t="s">
        <v>18</v>
      </c>
      <c r="C109" s="36">
        <v>1.4583333333333299</v>
      </c>
      <c r="D109" s="37" t="s">
        <v>19</v>
      </c>
      <c r="E109" s="38">
        <v>1.6243055555555554</v>
      </c>
      <c r="F109" s="39" t="s">
        <v>144</v>
      </c>
      <c r="H109" s="35" t="s">
        <v>18</v>
      </c>
      <c r="I109" s="36">
        <v>1.4583333333333299</v>
      </c>
      <c r="J109" s="37" t="s">
        <v>19</v>
      </c>
      <c r="K109" s="38">
        <v>1.6243055555555554</v>
      </c>
      <c r="L109" s="40" t="s">
        <v>21</v>
      </c>
      <c r="N109" s="35" t="s">
        <v>18</v>
      </c>
      <c r="O109" s="36">
        <v>1.4583333333333299</v>
      </c>
      <c r="P109" s="37" t="s">
        <v>19</v>
      </c>
      <c r="Q109" s="38">
        <v>1.6243055555555554</v>
      </c>
      <c r="R109" s="41" t="s">
        <v>22</v>
      </c>
      <c r="T109" s="35" t="s">
        <v>18</v>
      </c>
      <c r="U109" s="36">
        <v>1.4583333333333299</v>
      </c>
      <c r="V109" s="37" t="s">
        <v>19</v>
      </c>
      <c r="W109" s="38">
        <v>1.6243055555555554</v>
      </c>
      <c r="X109" s="42" t="s">
        <v>24</v>
      </c>
      <c r="Z109" s="35" t="s">
        <v>18</v>
      </c>
      <c r="AA109" s="36">
        <v>1.4583333333333299</v>
      </c>
      <c r="AB109" s="37" t="s">
        <v>19</v>
      </c>
      <c r="AC109" s="38">
        <v>1.6243055555555554</v>
      </c>
      <c r="AD109" s="43" t="s">
        <v>25</v>
      </c>
      <c r="AF109" s="35" t="s">
        <v>18</v>
      </c>
      <c r="AG109" s="36">
        <v>1.4583333333333299</v>
      </c>
      <c r="AH109" s="37" t="s">
        <v>19</v>
      </c>
      <c r="AI109" s="38">
        <v>1.6243055555555554</v>
      </c>
      <c r="AJ109" s="44" t="s">
        <v>144</v>
      </c>
      <c r="AL109" s="35" t="s">
        <v>18</v>
      </c>
      <c r="AM109" s="36">
        <v>1.4583333333333299</v>
      </c>
      <c r="AN109" s="37" t="s">
        <v>19</v>
      </c>
      <c r="AO109" s="38">
        <v>1.6243055555555554</v>
      </c>
      <c r="AP109" s="45" t="s">
        <v>21</v>
      </c>
    </row>
    <row r="110" spans="2:42" ht="17.25" customHeight="1">
      <c r="B110" s="46" t="s">
        <v>26</v>
      </c>
      <c r="C110" s="47">
        <v>1.625</v>
      </c>
      <c r="D110" s="48" t="s">
        <v>19</v>
      </c>
      <c r="E110" s="49">
        <v>1.7909722222222224</v>
      </c>
      <c r="F110" s="50" t="s">
        <v>21</v>
      </c>
      <c r="H110" s="46" t="s">
        <v>26</v>
      </c>
      <c r="I110" s="47">
        <v>1.625</v>
      </c>
      <c r="J110" s="48" t="s">
        <v>19</v>
      </c>
      <c r="K110" s="49">
        <v>1.7909722222222224</v>
      </c>
      <c r="L110" s="51" t="s">
        <v>22</v>
      </c>
      <c r="N110" s="46" t="s">
        <v>26</v>
      </c>
      <c r="O110" s="47">
        <v>1.625</v>
      </c>
      <c r="P110" s="48" t="s">
        <v>19</v>
      </c>
      <c r="Q110" s="49">
        <v>1.7909722222222224</v>
      </c>
      <c r="R110" s="52" t="s">
        <v>24</v>
      </c>
      <c r="T110" s="46" t="s">
        <v>26</v>
      </c>
      <c r="U110" s="47">
        <v>1.625</v>
      </c>
      <c r="V110" s="48" t="s">
        <v>19</v>
      </c>
      <c r="W110" s="49">
        <v>1.7909722222222224</v>
      </c>
      <c r="X110" s="53" t="s">
        <v>25</v>
      </c>
      <c r="Z110" s="46" t="s">
        <v>26</v>
      </c>
      <c r="AA110" s="47">
        <v>1.625</v>
      </c>
      <c r="AB110" s="48" t="s">
        <v>19</v>
      </c>
      <c r="AC110" s="49">
        <v>1.7909722222222224</v>
      </c>
      <c r="AD110" s="54" t="s">
        <v>144</v>
      </c>
      <c r="AF110" s="46" t="s">
        <v>26</v>
      </c>
      <c r="AG110" s="47">
        <v>1.625</v>
      </c>
      <c r="AH110" s="48" t="s">
        <v>19</v>
      </c>
      <c r="AI110" s="49">
        <v>1.7909722222222224</v>
      </c>
      <c r="AJ110" s="55" t="s">
        <v>21</v>
      </c>
      <c r="AL110" s="46" t="s">
        <v>26</v>
      </c>
      <c r="AM110" s="47">
        <v>1.625</v>
      </c>
      <c r="AN110" s="48" t="s">
        <v>19</v>
      </c>
      <c r="AO110" s="49">
        <v>1.7909722222222224</v>
      </c>
      <c r="AP110" s="56" t="s">
        <v>22</v>
      </c>
    </row>
    <row r="111" spans="2:42" ht="17.25" customHeight="1">
      <c r="B111" s="46" t="s">
        <v>28</v>
      </c>
      <c r="C111" s="57">
        <v>1.7916666666666701</v>
      </c>
      <c r="D111" s="58" t="s">
        <v>19</v>
      </c>
      <c r="E111" s="59">
        <v>1.9576388888888889</v>
      </c>
      <c r="F111" s="50" t="s">
        <v>22</v>
      </c>
      <c r="H111" s="46" t="s">
        <v>28</v>
      </c>
      <c r="I111" s="57">
        <v>1.7916666666666701</v>
      </c>
      <c r="J111" s="58" t="s">
        <v>19</v>
      </c>
      <c r="K111" s="59">
        <v>1.9576388888888889</v>
      </c>
      <c r="L111" s="51" t="s">
        <v>24</v>
      </c>
      <c r="N111" s="46" t="s">
        <v>28</v>
      </c>
      <c r="O111" s="57">
        <v>1.7916666666666701</v>
      </c>
      <c r="P111" s="58" t="s">
        <v>19</v>
      </c>
      <c r="Q111" s="59">
        <v>1.9576388888888889</v>
      </c>
      <c r="R111" s="52" t="s">
        <v>25</v>
      </c>
      <c r="T111" s="46" t="s">
        <v>28</v>
      </c>
      <c r="U111" s="57">
        <v>1.7916666666666701</v>
      </c>
      <c r="V111" s="58" t="s">
        <v>19</v>
      </c>
      <c r="W111" s="59">
        <v>1.9576388888888889</v>
      </c>
      <c r="X111" s="53" t="s">
        <v>144</v>
      </c>
      <c r="Z111" s="46" t="s">
        <v>28</v>
      </c>
      <c r="AA111" s="57">
        <v>1.7916666666666701</v>
      </c>
      <c r="AB111" s="58" t="s">
        <v>19</v>
      </c>
      <c r="AC111" s="59">
        <v>1.9576388888888889</v>
      </c>
      <c r="AD111" s="54" t="s">
        <v>21</v>
      </c>
      <c r="AF111" s="46" t="s">
        <v>28</v>
      </c>
      <c r="AG111" s="57">
        <v>1.7916666666666701</v>
      </c>
      <c r="AH111" s="58" t="s">
        <v>19</v>
      </c>
      <c r="AI111" s="59">
        <v>1.9576388888888889</v>
      </c>
      <c r="AJ111" s="55" t="s">
        <v>22</v>
      </c>
      <c r="AL111" s="46" t="s">
        <v>28</v>
      </c>
      <c r="AM111" s="57">
        <v>1.7916666666666701</v>
      </c>
      <c r="AN111" s="58" t="s">
        <v>19</v>
      </c>
      <c r="AO111" s="59">
        <v>1.9576388888888889</v>
      </c>
      <c r="AP111" s="56" t="s">
        <v>24</v>
      </c>
    </row>
    <row r="112" spans="2:42" ht="17.25" customHeight="1">
      <c r="B112" s="60" t="s">
        <v>30</v>
      </c>
      <c r="C112" s="61">
        <v>1.9583333333333335</v>
      </c>
      <c r="D112" s="62" t="s">
        <v>19</v>
      </c>
      <c r="E112" s="63">
        <v>1.1243055555555554</v>
      </c>
      <c r="F112" s="50" t="s">
        <v>24</v>
      </c>
      <c r="H112" s="60" t="s">
        <v>30</v>
      </c>
      <c r="I112" s="61">
        <v>1.9583333333333335</v>
      </c>
      <c r="J112" s="62" t="s">
        <v>19</v>
      </c>
      <c r="K112" s="63">
        <v>1.1243055555555554</v>
      </c>
      <c r="L112" s="51" t="s">
        <v>25</v>
      </c>
      <c r="N112" s="60" t="s">
        <v>30</v>
      </c>
      <c r="O112" s="61">
        <v>1.9583333333333335</v>
      </c>
      <c r="P112" s="62" t="s">
        <v>19</v>
      </c>
      <c r="Q112" s="63">
        <v>1.1243055555555554</v>
      </c>
      <c r="R112" s="52" t="s">
        <v>144</v>
      </c>
      <c r="T112" s="60" t="s">
        <v>30</v>
      </c>
      <c r="U112" s="61">
        <v>1.9583333333333335</v>
      </c>
      <c r="V112" s="62" t="s">
        <v>19</v>
      </c>
      <c r="W112" s="63">
        <v>1.1243055555555554</v>
      </c>
      <c r="X112" s="53" t="s">
        <v>21</v>
      </c>
      <c r="Z112" s="60" t="s">
        <v>30</v>
      </c>
      <c r="AA112" s="61">
        <v>1.9583333333333335</v>
      </c>
      <c r="AB112" s="62" t="s">
        <v>19</v>
      </c>
      <c r="AC112" s="63">
        <v>1.1243055555555554</v>
      </c>
      <c r="AD112" s="54" t="s">
        <v>22</v>
      </c>
      <c r="AF112" s="60" t="s">
        <v>30</v>
      </c>
      <c r="AG112" s="61">
        <v>1.9583333333333335</v>
      </c>
      <c r="AH112" s="62" t="s">
        <v>19</v>
      </c>
      <c r="AI112" s="63">
        <v>1.1243055555555554</v>
      </c>
      <c r="AJ112" s="55" t="s">
        <v>24</v>
      </c>
      <c r="AL112" s="60" t="s">
        <v>30</v>
      </c>
      <c r="AM112" s="61">
        <v>1.9583333333333335</v>
      </c>
      <c r="AN112" s="62" t="s">
        <v>19</v>
      </c>
      <c r="AO112" s="63">
        <v>1.1243055555555554</v>
      </c>
      <c r="AP112" s="56" t="s">
        <v>25</v>
      </c>
    </row>
    <row r="113" spans="2:42" ht="17.25" customHeight="1">
      <c r="B113" s="60" t="s">
        <v>31</v>
      </c>
      <c r="C113" s="61">
        <v>1.125</v>
      </c>
      <c r="D113" s="62" t="s">
        <v>19</v>
      </c>
      <c r="E113" s="63">
        <v>1.2909722222222222</v>
      </c>
      <c r="F113" s="50" t="s">
        <v>25</v>
      </c>
      <c r="H113" s="60" t="s">
        <v>31</v>
      </c>
      <c r="I113" s="61">
        <v>1.125</v>
      </c>
      <c r="J113" s="62" t="s">
        <v>19</v>
      </c>
      <c r="K113" s="63">
        <v>1.2909722222222222</v>
      </c>
      <c r="L113" s="51" t="s">
        <v>144</v>
      </c>
      <c r="N113" s="60" t="s">
        <v>31</v>
      </c>
      <c r="O113" s="61">
        <v>1.125</v>
      </c>
      <c r="P113" s="62" t="s">
        <v>19</v>
      </c>
      <c r="Q113" s="63">
        <v>1.2909722222222222</v>
      </c>
      <c r="R113" s="52" t="s">
        <v>21</v>
      </c>
      <c r="T113" s="60" t="s">
        <v>31</v>
      </c>
      <c r="U113" s="61">
        <v>1.125</v>
      </c>
      <c r="V113" s="62" t="s">
        <v>19</v>
      </c>
      <c r="W113" s="63">
        <v>1.2909722222222222</v>
      </c>
      <c r="X113" s="53" t="s">
        <v>22</v>
      </c>
      <c r="Z113" s="60" t="s">
        <v>31</v>
      </c>
      <c r="AA113" s="61">
        <v>1.125</v>
      </c>
      <c r="AB113" s="62" t="s">
        <v>19</v>
      </c>
      <c r="AC113" s="63">
        <v>1.2909722222222222</v>
      </c>
      <c r="AD113" s="54" t="s">
        <v>24</v>
      </c>
      <c r="AF113" s="60" t="s">
        <v>31</v>
      </c>
      <c r="AG113" s="61">
        <v>1.125</v>
      </c>
      <c r="AH113" s="62" t="s">
        <v>19</v>
      </c>
      <c r="AI113" s="63">
        <v>1.2909722222222222</v>
      </c>
      <c r="AJ113" s="55" t="s">
        <v>25</v>
      </c>
      <c r="AL113" s="60" t="s">
        <v>31</v>
      </c>
      <c r="AM113" s="61">
        <v>1.125</v>
      </c>
      <c r="AN113" s="62" t="s">
        <v>19</v>
      </c>
      <c r="AO113" s="63">
        <v>1.2909722222222222</v>
      </c>
      <c r="AP113" s="56" t="s">
        <v>144</v>
      </c>
    </row>
    <row r="114" spans="2:42" s="80" customFormat="1" ht="17.25" customHeight="1" thickBot="1">
      <c r="B114" s="75" t="s">
        <v>33</v>
      </c>
      <c r="C114" s="76">
        <v>1.2916666666666667</v>
      </c>
      <c r="D114" s="77" t="s">
        <v>19</v>
      </c>
      <c r="E114" s="78">
        <v>1.4576388888888889</v>
      </c>
      <c r="F114" s="79" t="str">
        <f>F109</f>
        <v>아미고훈련</v>
      </c>
      <c r="H114" s="75" t="s">
        <v>33</v>
      </c>
      <c r="I114" s="76">
        <v>1.2916666666666667</v>
      </c>
      <c r="J114" s="77" t="s">
        <v>19</v>
      </c>
      <c r="K114" s="78">
        <v>1.4576388888888889</v>
      </c>
      <c r="L114" s="81" t="str">
        <f>L109</f>
        <v>기술연구</v>
      </c>
      <c r="N114" s="75" t="s">
        <v>33</v>
      </c>
      <c r="O114" s="76">
        <v>1.2916666666666667</v>
      </c>
      <c r="P114" s="77" t="s">
        <v>19</v>
      </c>
      <c r="Q114" s="78">
        <v>1.4576388888888889</v>
      </c>
      <c r="R114" s="82" t="str">
        <f>R109</f>
        <v>AP소모</v>
      </c>
      <c r="T114" s="75" t="s">
        <v>33</v>
      </c>
      <c r="U114" s="76">
        <v>1.2916666666666667</v>
      </c>
      <c r="V114" s="77" t="s">
        <v>19</v>
      </c>
      <c r="W114" s="78">
        <v>1.4576388888888889</v>
      </c>
      <c r="X114" s="83" t="str">
        <f>X109</f>
        <v>펠몬강화</v>
      </c>
      <c r="Z114" s="75" t="s">
        <v>33</v>
      </c>
      <c r="AA114" s="76">
        <v>1.2916666666666667</v>
      </c>
      <c r="AB114" s="77" t="s">
        <v>19</v>
      </c>
      <c r="AC114" s="78">
        <v>1.4576388888888889</v>
      </c>
      <c r="AD114" s="84" t="str">
        <f>AD109</f>
        <v>건물레벨업</v>
      </c>
      <c r="AF114" s="75" t="s">
        <v>33</v>
      </c>
      <c r="AG114" s="76">
        <v>1.2916666666666667</v>
      </c>
      <c r="AH114" s="77" t="s">
        <v>19</v>
      </c>
      <c r="AI114" s="78">
        <v>1.4576388888888889</v>
      </c>
      <c r="AJ114" s="85" t="str">
        <f>AJ109</f>
        <v>아미고훈련</v>
      </c>
      <c r="AL114" s="75" t="s">
        <v>33</v>
      </c>
      <c r="AM114" s="76">
        <v>1.2916666666666667</v>
      </c>
      <c r="AN114" s="77" t="s">
        <v>19</v>
      </c>
      <c r="AO114" s="78">
        <v>1.4576388888888889</v>
      </c>
      <c r="AP114" s="86" t="str">
        <f>AP109</f>
        <v>기술연구</v>
      </c>
    </row>
    <row r="115" spans="2:42" ht="6" customHeight="1" thickBot="1"/>
    <row r="116" spans="2:42" s="21" customFormat="1" ht="17.25" customHeight="1" thickBot="1">
      <c r="B116" s="238" t="s">
        <v>1</v>
      </c>
      <c r="C116" s="239"/>
      <c r="D116" s="239"/>
      <c r="E116" s="240"/>
      <c r="F116" s="20" t="s">
        <v>2</v>
      </c>
      <c r="H116" s="241" t="s">
        <v>3</v>
      </c>
      <c r="I116" s="242"/>
      <c r="J116" s="242"/>
      <c r="K116" s="243"/>
      <c r="L116" s="22" t="s">
        <v>4</v>
      </c>
      <c r="N116" s="244" t="s">
        <v>5</v>
      </c>
      <c r="O116" s="245"/>
      <c r="P116" s="245"/>
      <c r="Q116" s="246"/>
      <c r="R116" s="23" t="s">
        <v>6</v>
      </c>
      <c r="T116" s="247" t="s">
        <v>7</v>
      </c>
      <c r="U116" s="248"/>
      <c r="V116" s="248"/>
      <c r="W116" s="249"/>
      <c r="X116" s="24" t="s">
        <v>8</v>
      </c>
      <c r="Z116" s="250" t="s">
        <v>9</v>
      </c>
      <c r="AA116" s="251"/>
      <c r="AB116" s="251"/>
      <c r="AC116" s="252"/>
      <c r="AD116" s="25" t="s">
        <v>10</v>
      </c>
      <c r="AF116" s="253" t="s">
        <v>11</v>
      </c>
      <c r="AG116" s="254"/>
      <c r="AH116" s="254"/>
      <c r="AI116" s="255"/>
      <c r="AJ116" s="26" t="s">
        <v>12</v>
      </c>
      <c r="AL116" s="256" t="s">
        <v>13</v>
      </c>
      <c r="AM116" s="257"/>
      <c r="AN116" s="257"/>
      <c r="AO116" s="258"/>
      <c r="AP116" s="27" t="s">
        <v>14</v>
      </c>
    </row>
    <row r="117" spans="2:42" ht="17.25" customHeight="1">
      <c r="B117" s="211">
        <v>3</v>
      </c>
      <c r="C117" s="213" t="s">
        <v>15</v>
      </c>
      <c r="D117" s="214"/>
      <c r="E117" s="217" t="s">
        <v>52</v>
      </c>
      <c r="F117" s="235">
        <v>21</v>
      </c>
      <c r="H117" s="211">
        <f>B117+1</f>
        <v>4</v>
      </c>
      <c r="I117" s="213" t="s">
        <v>53</v>
      </c>
      <c r="J117" s="214"/>
      <c r="K117" s="217" t="str">
        <f>E117</f>
        <v>9월</v>
      </c>
      <c r="L117" s="231">
        <f>F117+1</f>
        <v>22</v>
      </c>
      <c r="N117" s="211">
        <f>H117+1</f>
        <v>5</v>
      </c>
      <c r="O117" s="213" t="s">
        <v>15</v>
      </c>
      <c r="P117" s="214"/>
      <c r="Q117" s="217" t="str">
        <f>K117</f>
        <v>9월</v>
      </c>
      <c r="R117" s="233">
        <f>L117+1</f>
        <v>23</v>
      </c>
      <c r="T117" s="211">
        <f>N117+1</f>
        <v>6</v>
      </c>
      <c r="U117" s="213" t="s">
        <v>15</v>
      </c>
      <c r="V117" s="214"/>
      <c r="W117" s="217" t="str">
        <f>Q117</f>
        <v>9월</v>
      </c>
      <c r="X117" s="259">
        <f>R117+1</f>
        <v>24</v>
      </c>
      <c r="Z117" s="211">
        <f>T117+1</f>
        <v>7</v>
      </c>
      <c r="AA117" s="213" t="s">
        <v>15</v>
      </c>
      <c r="AB117" s="214"/>
      <c r="AC117" s="217" t="str">
        <f>W117</f>
        <v>9월</v>
      </c>
      <c r="AD117" s="221">
        <f>X117+1</f>
        <v>25</v>
      </c>
      <c r="AF117" s="223">
        <v>1</v>
      </c>
      <c r="AG117" s="213" t="s">
        <v>15</v>
      </c>
      <c r="AH117" s="214"/>
      <c r="AI117" s="217" t="str">
        <f>AC117</f>
        <v>9월</v>
      </c>
      <c r="AJ117" s="225">
        <f>AD117+1</f>
        <v>26</v>
      </c>
      <c r="AL117" s="211">
        <f>AF117+1</f>
        <v>2</v>
      </c>
      <c r="AM117" s="213" t="s">
        <v>15</v>
      </c>
      <c r="AN117" s="214"/>
      <c r="AO117" s="217" t="str">
        <f>AI117</f>
        <v>9월</v>
      </c>
      <c r="AP117" s="219">
        <f>AJ117+1</f>
        <v>27</v>
      </c>
    </row>
    <row r="118" spans="2:42" ht="17.25" customHeight="1" thickBot="1">
      <c r="B118" s="212"/>
      <c r="C118" s="215"/>
      <c r="D118" s="216"/>
      <c r="E118" s="218"/>
      <c r="F118" s="236"/>
      <c r="H118" s="212"/>
      <c r="I118" s="215"/>
      <c r="J118" s="216"/>
      <c r="K118" s="218"/>
      <c r="L118" s="232"/>
      <c r="N118" s="212"/>
      <c r="O118" s="215"/>
      <c r="P118" s="216"/>
      <c r="Q118" s="218"/>
      <c r="R118" s="234"/>
      <c r="T118" s="212"/>
      <c r="U118" s="215"/>
      <c r="V118" s="216"/>
      <c r="W118" s="218"/>
      <c r="X118" s="260"/>
      <c r="Z118" s="212"/>
      <c r="AA118" s="215"/>
      <c r="AB118" s="216"/>
      <c r="AC118" s="218"/>
      <c r="AD118" s="222"/>
      <c r="AF118" s="224"/>
      <c r="AG118" s="215"/>
      <c r="AH118" s="216"/>
      <c r="AI118" s="218"/>
      <c r="AJ118" s="226"/>
      <c r="AL118" s="212"/>
      <c r="AM118" s="215"/>
      <c r="AN118" s="216"/>
      <c r="AO118" s="218"/>
      <c r="AP118" s="220"/>
    </row>
    <row r="119" spans="2:42" ht="17.25" customHeight="1" thickBot="1">
      <c r="B119" s="208" t="s">
        <v>16</v>
      </c>
      <c r="C119" s="209"/>
      <c r="D119" s="209"/>
      <c r="E119" s="210"/>
      <c r="F119" s="28" t="s">
        <v>17</v>
      </c>
      <c r="H119" s="208" t="s">
        <v>16</v>
      </c>
      <c r="I119" s="209"/>
      <c r="J119" s="209"/>
      <c r="K119" s="210"/>
      <c r="L119" s="29" t="s">
        <v>17</v>
      </c>
      <c r="N119" s="208" t="s">
        <v>16</v>
      </c>
      <c r="O119" s="209"/>
      <c r="P119" s="209"/>
      <c r="Q119" s="210"/>
      <c r="R119" s="30" t="s">
        <v>17</v>
      </c>
      <c r="T119" s="208" t="s">
        <v>16</v>
      </c>
      <c r="U119" s="209"/>
      <c r="V119" s="209"/>
      <c r="W119" s="210"/>
      <c r="X119" s="31" t="s">
        <v>17</v>
      </c>
      <c r="Z119" s="208" t="s">
        <v>16</v>
      </c>
      <c r="AA119" s="209"/>
      <c r="AB119" s="209"/>
      <c r="AC119" s="210"/>
      <c r="AD119" s="32" t="s">
        <v>17</v>
      </c>
      <c r="AF119" s="208" t="s">
        <v>16</v>
      </c>
      <c r="AG119" s="209"/>
      <c r="AH119" s="209"/>
      <c r="AI119" s="210"/>
      <c r="AJ119" s="33" t="s">
        <v>17</v>
      </c>
      <c r="AL119" s="208" t="s">
        <v>16</v>
      </c>
      <c r="AM119" s="209"/>
      <c r="AN119" s="209"/>
      <c r="AO119" s="210"/>
      <c r="AP119" s="34" t="s">
        <v>17</v>
      </c>
    </row>
    <row r="120" spans="2:42" ht="17.25" customHeight="1">
      <c r="B120" s="35" t="s">
        <v>18</v>
      </c>
      <c r="C120" s="36">
        <v>1.4583333333333299</v>
      </c>
      <c r="D120" s="37" t="s">
        <v>19</v>
      </c>
      <c r="E120" s="38">
        <v>1.6243055555555554</v>
      </c>
      <c r="F120" s="39" t="s">
        <v>144</v>
      </c>
      <c r="H120" s="35" t="s">
        <v>18</v>
      </c>
      <c r="I120" s="36">
        <v>1.4583333333333299</v>
      </c>
      <c r="J120" s="37" t="s">
        <v>19</v>
      </c>
      <c r="K120" s="38">
        <v>1.6243055555555554</v>
      </c>
      <c r="L120" s="40" t="s">
        <v>21</v>
      </c>
      <c r="N120" s="35" t="s">
        <v>18</v>
      </c>
      <c r="O120" s="36">
        <v>1.4583333333333299</v>
      </c>
      <c r="P120" s="37" t="s">
        <v>19</v>
      </c>
      <c r="Q120" s="38">
        <v>1.6243055555555554</v>
      </c>
      <c r="R120" s="41" t="s">
        <v>22</v>
      </c>
      <c r="T120" s="35" t="s">
        <v>18</v>
      </c>
      <c r="U120" s="36">
        <v>1.4583333333333299</v>
      </c>
      <c r="V120" s="37" t="s">
        <v>19</v>
      </c>
      <c r="W120" s="38">
        <v>1.6243055555555554</v>
      </c>
      <c r="X120" s="42" t="s">
        <v>24</v>
      </c>
      <c r="Z120" s="35" t="s">
        <v>18</v>
      </c>
      <c r="AA120" s="36">
        <v>1.4583333333333299</v>
      </c>
      <c r="AB120" s="37" t="s">
        <v>19</v>
      </c>
      <c r="AC120" s="38">
        <v>1.6243055555555554</v>
      </c>
      <c r="AD120" s="43" t="s">
        <v>25</v>
      </c>
      <c r="AF120" s="35" t="s">
        <v>18</v>
      </c>
      <c r="AG120" s="36">
        <v>1.4583333333333299</v>
      </c>
      <c r="AH120" s="37" t="s">
        <v>19</v>
      </c>
      <c r="AI120" s="38">
        <v>1.6243055555555554</v>
      </c>
      <c r="AJ120" s="44" t="s">
        <v>144</v>
      </c>
      <c r="AL120" s="35" t="s">
        <v>18</v>
      </c>
      <c r="AM120" s="36">
        <v>1.4583333333333299</v>
      </c>
      <c r="AN120" s="37" t="s">
        <v>19</v>
      </c>
      <c r="AO120" s="38">
        <v>1.6243055555555554</v>
      </c>
      <c r="AP120" s="45" t="s">
        <v>21</v>
      </c>
    </row>
    <row r="121" spans="2:42" ht="17.25" customHeight="1">
      <c r="B121" s="46" t="s">
        <v>26</v>
      </c>
      <c r="C121" s="47">
        <v>1.625</v>
      </c>
      <c r="D121" s="48" t="s">
        <v>19</v>
      </c>
      <c r="E121" s="49">
        <v>1.7909722222222224</v>
      </c>
      <c r="F121" s="50" t="s">
        <v>21</v>
      </c>
      <c r="H121" s="46" t="s">
        <v>26</v>
      </c>
      <c r="I121" s="47">
        <v>1.625</v>
      </c>
      <c r="J121" s="48" t="s">
        <v>19</v>
      </c>
      <c r="K121" s="49">
        <v>1.7909722222222224</v>
      </c>
      <c r="L121" s="51" t="s">
        <v>22</v>
      </c>
      <c r="N121" s="46" t="s">
        <v>26</v>
      </c>
      <c r="O121" s="47">
        <v>1.625</v>
      </c>
      <c r="P121" s="48" t="s">
        <v>19</v>
      </c>
      <c r="Q121" s="49">
        <v>1.7909722222222224</v>
      </c>
      <c r="R121" s="52" t="s">
        <v>24</v>
      </c>
      <c r="T121" s="46" t="s">
        <v>26</v>
      </c>
      <c r="U121" s="47">
        <v>1.625</v>
      </c>
      <c r="V121" s="48" t="s">
        <v>19</v>
      </c>
      <c r="W121" s="49">
        <v>1.7909722222222224</v>
      </c>
      <c r="X121" s="53" t="s">
        <v>25</v>
      </c>
      <c r="Z121" s="46" t="s">
        <v>26</v>
      </c>
      <c r="AA121" s="47">
        <v>1.625</v>
      </c>
      <c r="AB121" s="48" t="s">
        <v>19</v>
      </c>
      <c r="AC121" s="49">
        <v>1.7909722222222224</v>
      </c>
      <c r="AD121" s="54" t="s">
        <v>144</v>
      </c>
      <c r="AF121" s="46" t="s">
        <v>26</v>
      </c>
      <c r="AG121" s="47">
        <v>1.625</v>
      </c>
      <c r="AH121" s="48" t="s">
        <v>19</v>
      </c>
      <c r="AI121" s="49">
        <v>1.7909722222222224</v>
      </c>
      <c r="AJ121" s="55" t="s">
        <v>21</v>
      </c>
      <c r="AL121" s="46" t="s">
        <v>26</v>
      </c>
      <c r="AM121" s="47">
        <v>1.625</v>
      </c>
      <c r="AN121" s="48" t="s">
        <v>19</v>
      </c>
      <c r="AO121" s="49">
        <v>1.7909722222222224</v>
      </c>
      <c r="AP121" s="56" t="s">
        <v>22</v>
      </c>
    </row>
    <row r="122" spans="2:42" ht="17.25" customHeight="1">
      <c r="B122" s="46" t="s">
        <v>28</v>
      </c>
      <c r="C122" s="57">
        <v>1.7916666666666701</v>
      </c>
      <c r="D122" s="58" t="s">
        <v>19</v>
      </c>
      <c r="E122" s="59">
        <v>1.9576388888888889</v>
      </c>
      <c r="F122" s="50" t="s">
        <v>22</v>
      </c>
      <c r="H122" s="46" t="s">
        <v>28</v>
      </c>
      <c r="I122" s="57">
        <v>1.7916666666666701</v>
      </c>
      <c r="J122" s="58" t="s">
        <v>19</v>
      </c>
      <c r="K122" s="59">
        <v>1.9576388888888889</v>
      </c>
      <c r="L122" s="51" t="s">
        <v>24</v>
      </c>
      <c r="N122" s="46" t="s">
        <v>28</v>
      </c>
      <c r="O122" s="57">
        <v>1.7916666666666701</v>
      </c>
      <c r="P122" s="58" t="s">
        <v>19</v>
      </c>
      <c r="Q122" s="59">
        <v>1.9576388888888889</v>
      </c>
      <c r="R122" s="52" t="s">
        <v>25</v>
      </c>
      <c r="T122" s="46" t="s">
        <v>28</v>
      </c>
      <c r="U122" s="57">
        <v>1.7916666666666701</v>
      </c>
      <c r="V122" s="58" t="s">
        <v>19</v>
      </c>
      <c r="W122" s="59">
        <v>1.9576388888888889</v>
      </c>
      <c r="X122" s="53" t="s">
        <v>144</v>
      </c>
      <c r="Z122" s="46" t="s">
        <v>28</v>
      </c>
      <c r="AA122" s="57">
        <v>1.7916666666666701</v>
      </c>
      <c r="AB122" s="58" t="s">
        <v>19</v>
      </c>
      <c r="AC122" s="59">
        <v>1.9576388888888889</v>
      </c>
      <c r="AD122" s="54" t="s">
        <v>21</v>
      </c>
      <c r="AF122" s="46" t="s">
        <v>28</v>
      </c>
      <c r="AG122" s="57">
        <v>1.7916666666666701</v>
      </c>
      <c r="AH122" s="58" t="s">
        <v>19</v>
      </c>
      <c r="AI122" s="59">
        <v>1.9576388888888889</v>
      </c>
      <c r="AJ122" s="55" t="s">
        <v>22</v>
      </c>
      <c r="AL122" s="46" t="s">
        <v>28</v>
      </c>
      <c r="AM122" s="57">
        <v>1.7916666666666701</v>
      </c>
      <c r="AN122" s="58" t="s">
        <v>19</v>
      </c>
      <c r="AO122" s="59">
        <v>1.9576388888888889</v>
      </c>
      <c r="AP122" s="56" t="s">
        <v>24</v>
      </c>
    </row>
    <row r="123" spans="2:42" ht="17.25" customHeight="1">
      <c r="B123" s="60" t="s">
        <v>30</v>
      </c>
      <c r="C123" s="61">
        <v>1.9583333333333335</v>
      </c>
      <c r="D123" s="62" t="s">
        <v>19</v>
      </c>
      <c r="E123" s="63">
        <v>1.1243055555555554</v>
      </c>
      <c r="F123" s="50" t="s">
        <v>24</v>
      </c>
      <c r="H123" s="60" t="s">
        <v>30</v>
      </c>
      <c r="I123" s="61">
        <v>1.9583333333333335</v>
      </c>
      <c r="J123" s="62" t="s">
        <v>19</v>
      </c>
      <c r="K123" s="63">
        <v>1.1243055555555554</v>
      </c>
      <c r="L123" s="51" t="s">
        <v>25</v>
      </c>
      <c r="N123" s="60" t="s">
        <v>30</v>
      </c>
      <c r="O123" s="61">
        <v>1.9583333333333335</v>
      </c>
      <c r="P123" s="62" t="s">
        <v>19</v>
      </c>
      <c r="Q123" s="63">
        <v>1.1243055555555554</v>
      </c>
      <c r="R123" s="52" t="s">
        <v>144</v>
      </c>
      <c r="T123" s="60" t="s">
        <v>30</v>
      </c>
      <c r="U123" s="61">
        <v>1.9583333333333335</v>
      </c>
      <c r="V123" s="62" t="s">
        <v>19</v>
      </c>
      <c r="W123" s="63">
        <v>1.1243055555555554</v>
      </c>
      <c r="X123" s="53" t="s">
        <v>21</v>
      </c>
      <c r="Z123" s="60" t="s">
        <v>30</v>
      </c>
      <c r="AA123" s="61">
        <v>1.9583333333333335</v>
      </c>
      <c r="AB123" s="62" t="s">
        <v>19</v>
      </c>
      <c r="AC123" s="63">
        <v>1.1243055555555554</v>
      </c>
      <c r="AD123" s="54" t="s">
        <v>22</v>
      </c>
      <c r="AF123" s="60" t="s">
        <v>30</v>
      </c>
      <c r="AG123" s="61">
        <v>1.9583333333333335</v>
      </c>
      <c r="AH123" s="62" t="s">
        <v>19</v>
      </c>
      <c r="AI123" s="63">
        <v>1.1243055555555554</v>
      </c>
      <c r="AJ123" s="55" t="s">
        <v>24</v>
      </c>
      <c r="AL123" s="60" t="s">
        <v>30</v>
      </c>
      <c r="AM123" s="61">
        <v>1.9583333333333335</v>
      </c>
      <c r="AN123" s="62" t="s">
        <v>19</v>
      </c>
      <c r="AO123" s="63">
        <v>1.1243055555555554</v>
      </c>
      <c r="AP123" s="56" t="s">
        <v>25</v>
      </c>
    </row>
    <row r="124" spans="2:42" ht="17.25" customHeight="1">
      <c r="B124" s="60" t="s">
        <v>31</v>
      </c>
      <c r="C124" s="61">
        <v>1.125</v>
      </c>
      <c r="D124" s="62" t="s">
        <v>19</v>
      </c>
      <c r="E124" s="63">
        <v>1.2909722222222222</v>
      </c>
      <c r="F124" s="50" t="s">
        <v>25</v>
      </c>
      <c r="H124" s="60" t="s">
        <v>31</v>
      </c>
      <c r="I124" s="61">
        <v>1.125</v>
      </c>
      <c r="J124" s="62" t="s">
        <v>19</v>
      </c>
      <c r="K124" s="63">
        <v>1.2909722222222222</v>
      </c>
      <c r="L124" s="51" t="s">
        <v>144</v>
      </c>
      <c r="N124" s="60" t="s">
        <v>31</v>
      </c>
      <c r="O124" s="61">
        <v>1.125</v>
      </c>
      <c r="P124" s="62" t="s">
        <v>19</v>
      </c>
      <c r="Q124" s="63">
        <v>1.2909722222222222</v>
      </c>
      <c r="R124" s="52" t="s">
        <v>21</v>
      </c>
      <c r="T124" s="60" t="s">
        <v>31</v>
      </c>
      <c r="U124" s="61">
        <v>1.125</v>
      </c>
      <c r="V124" s="62" t="s">
        <v>19</v>
      </c>
      <c r="W124" s="63">
        <v>1.2909722222222222</v>
      </c>
      <c r="X124" s="53" t="s">
        <v>22</v>
      </c>
      <c r="Z124" s="60" t="s">
        <v>31</v>
      </c>
      <c r="AA124" s="61">
        <v>1.125</v>
      </c>
      <c r="AB124" s="62" t="s">
        <v>19</v>
      </c>
      <c r="AC124" s="63">
        <v>1.2909722222222222</v>
      </c>
      <c r="AD124" s="54" t="s">
        <v>24</v>
      </c>
      <c r="AF124" s="60" t="s">
        <v>31</v>
      </c>
      <c r="AG124" s="61">
        <v>1.125</v>
      </c>
      <c r="AH124" s="62" t="s">
        <v>19</v>
      </c>
      <c r="AI124" s="63">
        <v>1.2909722222222222</v>
      </c>
      <c r="AJ124" s="55" t="s">
        <v>25</v>
      </c>
      <c r="AL124" s="60" t="s">
        <v>31</v>
      </c>
      <c r="AM124" s="61">
        <v>1.125</v>
      </c>
      <c r="AN124" s="62" t="s">
        <v>19</v>
      </c>
      <c r="AO124" s="63">
        <v>1.2909722222222222</v>
      </c>
      <c r="AP124" s="56" t="s">
        <v>144</v>
      </c>
    </row>
    <row r="125" spans="2:42" s="80" customFormat="1" ht="17.25" customHeight="1" thickBot="1">
      <c r="B125" s="75" t="s">
        <v>33</v>
      </c>
      <c r="C125" s="76">
        <v>1.2916666666666667</v>
      </c>
      <c r="D125" s="77" t="s">
        <v>19</v>
      </c>
      <c r="E125" s="78">
        <v>1.4576388888888889</v>
      </c>
      <c r="F125" s="79" t="str">
        <f>F120</f>
        <v>아미고훈련</v>
      </c>
      <c r="H125" s="75" t="s">
        <v>33</v>
      </c>
      <c r="I125" s="76">
        <v>1.2916666666666667</v>
      </c>
      <c r="J125" s="77" t="s">
        <v>19</v>
      </c>
      <c r="K125" s="78">
        <v>1.4576388888888889</v>
      </c>
      <c r="L125" s="81" t="str">
        <f>L120</f>
        <v>기술연구</v>
      </c>
      <c r="N125" s="75" t="s">
        <v>33</v>
      </c>
      <c r="O125" s="76">
        <v>1.2916666666666667</v>
      </c>
      <c r="P125" s="77" t="s">
        <v>19</v>
      </c>
      <c r="Q125" s="78">
        <v>1.4576388888888889</v>
      </c>
      <c r="R125" s="82" t="str">
        <f>R120</f>
        <v>AP소모</v>
      </c>
      <c r="T125" s="75" t="s">
        <v>33</v>
      </c>
      <c r="U125" s="76">
        <v>1.2916666666666667</v>
      </c>
      <c r="V125" s="77" t="s">
        <v>19</v>
      </c>
      <c r="W125" s="78">
        <v>1.4576388888888889</v>
      </c>
      <c r="X125" s="83" t="str">
        <f>X120</f>
        <v>펠몬강화</v>
      </c>
      <c r="Z125" s="75" t="s">
        <v>33</v>
      </c>
      <c r="AA125" s="76">
        <v>1.2916666666666667</v>
      </c>
      <c r="AB125" s="77" t="s">
        <v>19</v>
      </c>
      <c r="AC125" s="78">
        <v>1.4576388888888889</v>
      </c>
      <c r="AD125" s="84" t="str">
        <f>AD120</f>
        <v>건물레벨업</v>
      </c>
      <c r="AF125" s="75" t="s">
        <v>33</v>
      </c>
      <c r="AG125" s="76">
        <v>1.2916666666666667</v>
      </c>
      <c r="AH125" s="77" t="s">
        <v>19</v>
      </c>
      <c r="AI125" s="78">
        <v>1.4576388888888889</v>
      </c>
      <c r="AJ125" s="85" t="str">
        <f>AJ120</f>
        <v>아미고훈련</v>
      </c>
      <c r="AL125" s="75" t="s">
        <v>33</v>
      </c>
      <c r="AM125" s="76">
        <v>1.2916666666666667</v>
      </c>
      <c r="AN125" s="77" t="s">
        <v>19</v>
      </c>
      <c r="AO125" s="78">
        <v>1.4576388888888889</v>
      </c>
      <c r="AP125" s="86" t="str">
        <f>AP120</f>
        <v>기술연구</v>
      </c>
    </row>
    <row r="126" spans="2:42" ht="6" customHeight="1"/>
    <row r="127" spans="2:42" ht="33" customHeight="1">
      <c r="B127" s="237" t="s">
        <v>54</v>
      </c>
      <c r="C127" s="237"/>
      <c r="D127" s="237"/>
      <c r="E127" s="237"/>
      <c r="F127" s="237"/>
      <c r="G127" s="237"/>
      <c r="H127" s="237"/>
      <c r="I127" s="237"/>
      <c r="J127" s="237"/>
      <c r="K127" s="237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  <c r="Y127" s="237"/>
      <c r="Z127" s="237"/>
      <c r="AA127" s="237"/>
      <c r="AB127" s="237"/>
      <c r="AC127" s="237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</row>
    <row r="128" spans="2:42" ht="18.75" customHeight="1"/>
    <row r="129" spans="2:42" ht="18.75" customHeight="1"/>
    <row r="130" spans="2:42" ht="18.75" customHeight="1"/>
    <row r="131" spans="2:42" ht="18.75" customHeight="1"/>
    <row r="132" spans="2:42" ht="18.75" customHeight="1"/>
    <row r="133" spans="2:42" ht="18.75" customHeight="1"/>
    <row r="134" spans="2:42" ht="18.75" customHeight="1" thickBot="1"/>
    <row r="135" spans="2:42" s="21" customFormat="1" ht="17.25" customHeight="1" thickBot="1">
      <c r="B135" s="238" t="s">
        <v>1</v>
      </c>
      <c r="C135" s="239"/>
      <c r="D135" s="239"/>
      <c r="E135" s="240"/>
      <c r="F135" s="20" t="s">
        <v>2</v>
      </c>
      <c r="H135" s="241" t="s">
        <v>3</v>
      </c>
      <c r="I135" s="242"/>
      <c r="J135" s="242"/>
      <c r="K135" s="243"/>
      <c r="L135" s="22" t="s">
        <v>4</v>
      </c>
      <c r="N135" s="244" t="s">
        <v>5</v>
      </c>
      <c r="O135" s="245"/>
      <c r="P135" s="245"/>
      <c r="Q135" s="246"/>
      <c r="R135" s="23" t="s">
        <v>6</v>
      </c>
      <c r="T135" s="247" t="s">
        <v>7</v>
      </c>
      <c r="U135" s="248"/>
      <c r="V135" s="248"/>
      <c r="W135" s="249"/>
      <c r="X135" s="24" t="s">
        <v>8</v>
      </c>
      <c r="Z135" s="250" t="s">
        <v>9</v>
      </c>
      <c r="AA135" s="251"/>
      <c r="AB135" s="251"/>
      <c r="AC135" s="252"/>
      <c r="AD135" s="25" t="s">
        <v>10</v>
      </c>
      <c r="AF135" s="253" t="s">
        <v>11</v>
      </c>
      <c r="AG135" s="254"/>
      <c r="AH135" s="254"/>
      <c r="AI135" s="255"/>
      <c r="AJ135" s="26" t="s">
        <v>12</v>
      </c>
      <c r="AL135" s="256" t="s">
        <v>13</v>
      </c>
      <c r="AM135" s="257"/>
      <c r="AN135" s="257"/>
      <c r="AO135" s="258"/>
      <c r="AP135" s="27" t="s">
        <v>14</v>
      </c>
    </row>
    <row r="136" spans="2:42" ht="17.25" customHeight="1">
      <c r="B136" s="211">
        <v>3</v>
      </c>
      <c r="C136" s="213" t="s">
        <v>15</v>
      </c>
      <c r="D136" s="214"/>
      <c r="E136" s="217" t="s">
        <v>52</v>
      </c>
      <c r="F136" s="235">
        <v>28</v>
      </c>
      <c r="H136" s="211">
        <f>B136+1</f>
        <v>4</v>
      </c>
      <c r="I136" s="213" t="s">
        <v>15</v>
      </c>
      <c r="J136" s="214"/>
      <c r="K136" s="217" t="str">
        <f>E136</f>
        <v>9월</v>
      </c>
      <c r="L136" s="231">
        <f>F136+1</f>
        <v>29</v>
      </c>
      <c r="N136" s="211">
        <f>H136+1</f>
        <v>5</v>
      </c>
      <c r="O136" s="213" t="s">
        <v>15</v>
      </c>
      <c r="P136" s="214"/>
      <c r="Q136" s="217" t="str">
        <f>K136</f>
        <v>9월</v>
      </c>
      <c r="R136" s="233">
        <f>L136+1</f>
        <v>30</v>
      </c>
      <c r="T136" s="211">
        <f>N136+1</f>
        <v>6</v>
      </c>
      <c r="U136" s="213" t="s">
        <v>15</v>
      </c>
      <c r="V136" s="214"/>
      <c r="W136" s="227" t="s">
        <v>54</v>
      </c>
      <c r="X136" s="229">
        <v>1</v>
      </c>
      <c r="Z136" s="211">
        <f>T136+1</f>
        <v>7</v>
      </c>
      <c r="AA136" s="213" t="s">
        <v>15</v>
      </c>
      <c r="AB136" s="214"/>
      <c r="AC136" s="217" t="str">
        <f>W136</f>
        <v>10월</v>
      </c>
      <c r="AD136" s="221">
        <f>X136+1</f>
        <v>2</v>
      </c>
      <c r="AF136" s="223">
        <v>1</v>
      </c>
      <c r="AG136" s="213" t="s">
        <v>15</v>
      </c>
      <c r="AH136" s="214"/>
      <c r="AI136" s="217" t="str">
        <f>AC136</f>
        <v>10월</v>
      </c>
      <c r="AJ136" s="225">
        <f>AD136+1</f>
        <v>3</v>
      </c>
      <c r="AL136" s="211">
        <f>AF136+1</f>
        <v>2</v>
      </c>
      <c r="AM136" s="213" t="s">
        <v>15</v>
      </c>
      <c r="AN136" s="214"/>
      <c r="AO136" s="217" t="str">
        <f>AI136</f>
        <v>10월</v>
      </c>
      <c r="AP136" s="219">
        <f>AJ136+1</f>
        <v>4</v>
      </c>
    </row>
    <row r="137" spans="2:42" ht="17.25" customHeight="1" thickBot="1">
      <c r="B137" s="212"/>
      <c r="C137" s="215"/>
      <c r="D137" s="216"/>
      <c r="E137" s="218"/>
      <c r="F137" s="236"/>
      <c r="H137" s="212"/>
      <c r="I137" s="215"/>
      <c r="J137" s="216"/>
      <c r="K137" s="218"/>
      <c r="L137" s="232"/>
      <c r="N137" s="212"/>
      <c r="O137" s="215"/>
      <c r="P137" s="216"/>
      <c r="Q137" s="218"/>
      <c r="R137" s="234"/>
      <c r="T137" s="212"/>
      <c r="U137" s="215"/>
      <c r="V137" s="216"/>
      <c r="W137" s="228"/>
      <c r="X137" s="230"/>
      <c r="Z137" s="212"/>
      <c r="AA137" s="215"/>
      <c r="AB137" s="216"/>
      <c r="AC137" s="218"/>
      <c r="AD137" s="222"/>
      <c r="AF137" s="224"/>
      <c r="AG137" s="215"/>
      <c r="AH137" s="216"/>
      <c r="AI137" s="218"/>
      <c r="AJ137" s="226"/>
      <c r="AL137" s="212"/>
      <c r="AM137" s="215"/>
      <c r="AN137" s="216"/>
      <c r="AO137" s="218"/>
      <c r="AP137" s="220"/>
    </row>
    <row r="138" spans="2:42" ht="17.25" customHeight="1" thickBot="1">
      <c r="B138" s="208" t="s">
        <v>16</v>
      </c>
      <c r="C138" s="209"/>
      <c r="D138" s="209"/>
      <c r="E138" s="210"/>
      <c r="F138" s="28" t="s">
        <v>17</v>
      </c>
      <c r="H138" s="208" t="s">
        <v>16</v>
      </c>
      <c r="I138" s="209"/>
      <c r="J138" s="209"/>
      <c r="K138" s="210"/>
      <c r="L138" s="29" t="s">
        <v>17</v>
      </c>
      <c r="N138" s="208" t="s">
        <v>16</v>
      </c>
      <c r="O138" s="209"/>
      <c r="P138" s="209"/>
      <c r="Q138" s="210"/>
      <c r="R138" s="30" t="s">
        <v>17</v>
      </c>
      <c r="T138" s="208" t="s">
        <v>16</v>
      </c>
      <c r="U138" s="209"/>
      <c r="V138" s="209"/>
      <c r="W138" s="210"/>
      <c r="X138" s="31" t="s">
        <v>17</v>
      </c>
      <c r="Z138" s="208" t="s">
        <v>16</v>
      </c>
      <c r="AA138" s="209"/>
      <c r="AB138" s="209"/>
      <c r="AC138" s="210"/>
      <c r="AD138" s="32" t="s">
        <v>17</v>
      </c>
      <c r="AF138" s="208" t="s">
        <v>16</v>
      </c>
      <c r="AG138" s="209"/>
      <c r="AH138" s="209"/>
      <c r="AI138" s="210"/>
      <c r="AJ138" s="33" t="s">
        <v>17</v>
      </c>
      <c r="AL138" s="208" t="s">
        <v>16</v>
      </c>
      <c r="AM138" s="209"/>
      <c r="AN138" s="209"/>
      <c r="AO138" s="210"/>
      <c r="AP138" s="34" t="s">
        <v>17</v>
      </c>
    </row>
    <row r="139" spans="2:42" ht="17.25" customHeight="1">
      <c r="B139" s="35" t="s">
        <v>18</v>
      </c>
      <c r="C139" s="36">
        <v>1.4583333333333299</v>
      </c>
      <c r="D139" s="37" t="s">
        <v>19</v>
      </c>
      <c r="E139" s="38">
        <v>1.6243055555555554</v>
      </c>
      <c r="F139" s="39" t="s">
        <v>144</v>
      </c>
      <c r="H139" s="35" t="s">
        <v>18</v>
      </c>
      <c r="I139" s="36">
        <v>1.4583333333333299</v>
      </c>
      <c r="J139" s="37" t="s">
        <v>19</v>
      </c>
      <c r="K139" s="38">
        <v>1.6243055555555554</v>
      </c>
      <c r="L139" s="40" t="s">
        <v>21</v>
      </c>
      <c r="N139" s="35" t="s">
        <v>18</v>
      </c>
      <c r="O139" s="36">
        <v>1.4583333333333299</v>
      </c>
      <c r="P139" s="37" t="s">
        <v>19</v>
      </c>
      <c r="Q139" s="38">
        <v>1.6243055555555554</v>
      </c>
      <c r="R139" s="41" t="s">
        <v>22</v>
      </c>
      <c r="T139" s="35" t="s">
        <v>18</v>
      </c>
      <c r="U139" s="36">
        <v>1.4583333333333299</v>
      </c>
      <c r="V139" s="37" t="s">
        <v>19</v>
      </c>
      <c r="W139" s="38">
        <v>1.6243055555555554</v>
      </c>
      <c r="X139" s="42" t="s">
        <v>24</v>
      </c>
      <c r="Z139" s="35" t="s">
        <v>18</v>
      </c>
      <c r="AA139" s="36">
        <v>1.4583333333333299</v>
      </c>
      <c r="AB139" s="37" t="s">
        <v>19</v>
      </c>
      <c r="AC139" s="38">
        <v>1.6243055555555554</v>
      </c>
      <c r="AD139" s="43" t="s">
        <v>25</v>
      </c>
      <c r="AF139" s="35" t="s">
        <v>18</v>
      </c>
      <c r="AG139" s="36">
        <v>1.4583333333333299</v>
      </c>
      <c r="AH139" s="37" t="s">
        <v>19</v>
      </c>
      <c r="AI139" s="38">
        <v>1.6243055555555554</v>
      </c>
      <c r="AJ139" s="44" t="s">
        <v>144</v>
      </c>
      <c r="AL139" s="35" t="s">
        <v>18</v>
      </c>
      <c r="AM139" s="36">
        <v>1.4583333333333299</v>
      </c>
      <c r="AN139" s="37" t="s">
        <v>19</v>
      </c>
      <c r="AO139" s="38">
        <v>1.6243055555555554</v>
      </c>
      <c r="AP139" s="45" t="s">
        <v>21</v>
      </c>
    </row>
    <row r="140" spans="2:42" ht="17.25" customHeight="1">
      <c r="B140" s="46" t="s">
        <v>26</v>
      </c>
      <c r="C140" s="47">
        <v>1.625</v>
      </c>
      <c r="D140" s="48" t="s">
        <v>19</v>
      </c>
      <c r="E140" s="49">
        <v>1.7909722222222224</v>
      </c>
      <c r="F140" s="50" t="s">
        <v>21</v>
      </c>
      <c r="H140" s="46" t="s">
        <v>26</v>
      </c>
      <c r="I140" s="47">
        <v>1.625</v>
      </c>
      <c r="J140" s="48" t="s">
        <v>19</v>
      </c>
      <c r="K140" s="49">
        <v>1.7909722222222224</v>
      </c>
      <c r="L140" s="51" t="s">
        <v>22</v>
      </c>
      <c r="N140" s="46" t="s">
        <v>26</v>
      </c>
      <c r="O140" s="47">
        <v>1.625</v>
      </c>
      <c r="P140" s="48" t="s">
        <v>19</v>
      </c>
      <c r="Q140" s="49">
        <v>1.7909722222222224</v>
      </c>
      <c r="R140" s="52" t="s">
        <v>24</v>
      </c>
      <c r="T140" s="46" t="s">
        <v>26</v>
      </c>
      <c r="U140" s="47">
        <v>1.625</v>
      </c>
      <c r="V140" s="48" t="s">
        <v>19</v>
      </c>
      <c r="W140" s="49">
        <v>1.7909722222222224</v>
      </c>
      <c r="X140" s="53" t="s">
        <v>25</v>
      </c>
      <c r="Z140" s="46" t="s">
        <v>26</v>
      </c>
      <c r="AA140" s="47">
        <v>1.625</v>
      </c>
      <c r="AB140" s="48" t="s">
        <v>19</v>
      </c>
      <c r="AC140" s="49">
        <v>1.7909722222222224</v>
      </c>
      <c r="AD140" s="54" t="s">
        <v>144</v>
      </c>
      <c r="AF140" s="46" t="s">
        <v>26</v>
      </c>
      <c r="AG140" s="47">
        <v>1.625</v>
      </c>
      <c r="AH140" s="48" t="s">
        <v>19</v>
      </c>
      <c r="AI140" s="49">
        <v>1.7909722222222224</v>
      </c>
      <c r="AJ140" s="55" t="s">
        <v>21</v>
      </c>
      <c r="AL140" s="46" t="s">
        <v>26</v>
      </c>
      <c r="AM140" s="47">
        <v>1.625</v>
      </c>
      <c r="AN140" s="48" t="s">
        <v>19</v>
      </c>
      <c r="AO140" s="49">
        <v>1.7909722222222224</v>
      </c>
      <c r="AP140" s="56" t="s">
        <v>22</v>
      </c>
    </row>
    <row r="141" spans="2:42" ht="17.25" customHeight="1">
      <c r="B141" s="46" t="s">
        <v>28</v>
      </c>
      <c r="C141" s="57">
        <v>1.7916666666666701</v>
      </c>
      <c r="D141" s="58" t="s">
        <v>19</v>
      </c>
      <c r="E141" s="59">
        <v>1.9576388888888889</v>
      </c>
      <c r="F141" s="50" t="s">
        <v>22</v>
      </c>
      <c r="H141" s="46" t="s">
        <v>28</v>
      </c>
      <c r="I141" s="57">
        <v>1.7916666666666701</v>
      </c>
      <c r="J141" s="58" t="s">
        <v>19</v>
      </c>
      <c r="K141" s="59">
        <v>1.9576388888888889</v>
      </c>
      <c r="L141" s="51" t="s">
        <v>24</v>
      </c>
      <c r="N141" s="46" t="s">
        <v>28</v>
      </c>
      <c r="O141" s="57">
        <v>1.7916666666666701</v>
      </c>
      <c r="P141" s="58" t="s">
        <v>19</v>
      </c>
      <c r="Q141" s="59">
        <v>1.9576388888888889</v>
      </c>
      <c r="R141" s="52" t="s">
        <v>25</v>
      </c>
      <c r="T141" s="46" t="s">
        <v>28</v>
      </c>
      <c r="U141" s="57">
        <v>1.7916666666666701</v>
      </c>
      <c r="V141" s="58" t="s">
        <v>19</v>
      </c>
      <c r="W141" s="59">
        <v>1.9576388888888889</v>
      </c>
      <c r="X141" s="53" t="s">
        <v>144</v>
      </c>
      <c r="Z141" s="46" t="s">
        <v>28</v>
      </c>
      <c r="AA141" s="57">
        <v>1.7916666666666701</v>
      </c>
      <c r="AB141" s="58" t="s">
        <v>19</v>
      </c>
      <c r="AC141" s="59">
        <v>1.9576388888888889</v>
      </c>
      <c r="AD141" s="54" t="s">
        <v>21</v>
      </c>
      <c r="AF141" s="46" t="s">
        <v>28</v>
      </c>
      <c r="AG141" s="57">
        <v>1.7916666666666701</v>
      </c>
      <c r="AH141" s="58" t="s">
        <v>19</v>
      </c>
      <c r="AI141" s="59">
        <v>1.9576388888888889</v>
      </c>
      <c r="AJ141" s="55" t="s">
        <v>22</v>
      </c>
      <c r="AL141" s="46" t="s">
        <v>28</v>
      </c>
      <c r="AM141" s="57">
        <v>1.7916666666666701</v>
      </c>
      <c r="AN141" s="58" t="s">
        <v>19</v>
      </c>
      <c r="AO141" s="59">
        <v>1.9576388888888889</v>
      </c>
      <c r="AP141" s="56" t="s">
        <v>24</v>
      </c>
    </row>
    <row r="142" spans="2:42" ht="17.25" customHeight="1">
      <c r="B142" s="60" t="s">
        <v>30</v>
      </c>
      <c r="C142" s="61">
        <v>1.9583333333333335</v>
      </c>
      <c r="D142" s="62" t="s">
        <v>19</v>
      </c>
      <c r="E142" s="63">
        <v>1.1243055555555554</v>
      </c>
      <c r="F142" s="50" t="s">
        <v>24</v>
      </c>
      <c r="H142" s="60" t="s">
        <v>30</v>
      </c>
      <c r="I142" s="61">
        <v>1.9583333333333335</v>
      </c>
      <c r="J142" s="62" t="s">
        <v>19</v>
      </c>
      <c r="K142" s="63">
        <v>1.1243055555555554</v>
      </c>
      <c r="L142" s="51" t="s">
        <v>25</v>
      </c>
      <c r="N142" s="60" t="s">
        <v>30</v>
      </c>
      <c r="O142" s="61">
        <v>1.9583333333333335</v>
      </c>
      <c r="P142" s="62" t="s">
        <v>19</v>
      </c>
      <c r="Q142" s="63">
        <v>1.1243055555555554</v>
      </c>
      <c r="R142" s="52" t="s">
        <v>144</v>
      </c>
      <c r="T142" s="60" t="s">
        <v>30</v>
      </c>
      <c r="U142" s="61">
        <v>1.9583333333333335</v>
      </c>
      <c r="V142" s="62" t="s">
        <v>19</v>
      </c>
      <c r="W142" s="63">
        <v>1.1243055555555554</v>
      </c>
      <c r="X142" s="53" t="s">
        <v>21</v>
      </c>
      <c r="Z142" s="60" t="s">
        <v>30</v>
      </c>
      <c r="AA142" s="61">
        <v>1.9583333333333335</v>
      </c>
      <c r="AB142" s="62" t="s">
        <v>19</v>
      </c>
      <c r="AC142" s="63">
        <v>1.1243055555555554</v>
      </c>
      <c r="AD142" s="54" t="s">
        <v>22</v>
      </c>
      <c r="AF142" s="60" t="s">
        <v>30</v>
      </c>
      <c r="AG142" s="61">
        <v>1.9583333333333335</v>
      </c>
      <c r="AH142" s="62" t="s">
        <v>19</v>
      </c>
      <c r="AI142" s="63">
        <v>1.1243055555555554</v>
      </c>
      <c r="AJ142" s="55" t="s">
        <v>24</v>
      </c>
      <c r="AL142" s="60" t="s">
        <v>30</v>
      </c>
      <c r="AM142" s="61">
        <v>1.9583333333333335</v>
      </c>
      <c r="AN142" s="62" t="s">
        <v>19</v>
      </c>
      <c r="AO142" s="63">
        <v>1.1243055555555554</v>
      </c>
      <c r="AP142" s="56" t="s">
        <v>25</v>
      </c>
    </row>
    <row r="143" spans="2:42" ht="17.25" customHeight="1">
      <c r="B143" s="60" t="s">
        <v>31</v>
      </c>
      <c r="C143" s="61">
        <v>1.125</v>
      </c>
      <c r="D143" s="62" t="s">
        <v>19</v>
      </c>
      <c r="E143" s="63">
        <v>1.2909722222222222</v>
      </c>
      <c r="F143" s="50" t="s">
        <v>25</v>
      </c>
      <c r="H143" s="60" t="s">
        <v>31</v>
      </c>
      <c r="I143" s="61">
        <v>1.125</v>
      </c>
      <c r="J143" s="62" t="s">
        <v>19</v>
      </c>
      <c r="K143" s="63">
        <v>1.2909722222222222</v>
      </c>
      <c r="L143" s="51" t="s">
        <v>144</v>
      </c>
      <c r="N143" s="60" t="s">
        <v>31</v>
      </c>
      <c r="O143" s="61">
        <v>1.125</v>
      </c>
      <c r="P143" s="62" t="s">
        <v>19</v>
      </c>
      <c r="Q143" s="63">
        <v>1.2909722222222222</v>
      </c>
      <c r="R143" s="52" t="s">
        <v>21</v>
      </c>
      <c r="T143" s="60" t="s">
        <v>31</v>
      </c>
      <c r="U143" s="61">
        <v>1.125</v>
      </c>
      <c r="V143" s="62" t="s">
        <v>19</v>
      </c>
      <c r="W143" s="63">
        <v>1.2909722222222222</v>
      </c>
      <c r="X143" s="53" t="s">
        <v>22</v>
      </c>
      <c r="Z143" s="60" t="s">
        <v>31</v>
      </c>
      <c r="AA143" s="61">
        <v>1.125</v>
      </c>
      <c r="AB143" s="62" t="s">
        <v>19</v>
      </c>
      <c r="AC143" s="63">
        <v>1.2909722222222222</v>
      </c>
      <c r="AD143" s="54" t="s">
        <v>24</v>
      </c>
      <c r="AF143" s="60" t="s">
        <v>31</v>
      </c>
      <c r="AG143" s="61">
        <v>1.125</v>
      </c>
      <c r="AH143" s="62" t="s">
        <v>19</v>
      </c>
      <c r="AI143" s="63">
        <v>1.2909722222222222</v>
      </c>
      <c r="AJ143" s="55" t="s">
        <v>25</v>
      </c>
      <c r="AL143" s="60" t="s">
        <v>31</v>
      </c>
      <c r="AM143" s="61">
        <v>1.125</v>
      </c>
      <c r="AN143" s="62" t="s">
        <v>19</v>
      </c>
      <c r="AO143" s="63">
        <v>1.2909722222222222</v>
      </c>
      <c r="AP143" s="56" t="s">
        <v>144</v>
      </c>
    </row>
    <row r="144" spans="2:42" s="80" customFormat="1" ht="17.25" customHeight="1" thickBot="1">
      <c r="B144" s="75" t="s">
        <v>33</v>
      </c>
      <c r="C144" s="76">
        <v>1.2916666666666667</v>
      </c>
      <c r="D144" s="77" t="s">
        <v>19</v>
      </c>
      <c r="E144" s="78">
        <v>1.4576388888888889</v>
      </c>
      <c r="F144" s="79" t="str">
        <f>F139</f>
        <v>아미고훈련</v>
      </c>
      <c r="H144" s="75" t="s">
        <v>33</v>
      </c>
      <c r="I144" s="76">
        <v>1.2916666666666667</v>
      </c>
      <c r="J144" s="77" t="s">
        <v>19</v>
      </c>
      <c r="K144" s="78">
        <v>1.4576388888888889</v>
      </c>
      <c r="L144" s="81" t="str">
        <f>L139</f>
        <v>기술연구</v>
      </c>
      <c r="N144" s="75" t="s">
        <v>33</v>
      </c>
      <c r="O144" s="76">
        <v>1.2916666666666667</v>
      </c>
      <c r="P144" s="77" t="s">
        <v>19</v>
      </c>
      <c r="Q144" s="78">
        <v>1.4576388888888889</v>
      </c>
      <c r="R144" s="82" t="str">
        <f>R139</f>
        <v>AP소모</v>
      </c>
      <c r="T144" s="75" t="s">
        <v>33</v>
      </c>
      <c r="U144" s="76">
        <v>1.2916666666666667</v>
      </c>
      <c r="V144" s="77" t="s">
        <v>19</v>
      </c>
      <c r="W144" s="78">
        <v>1.4576388888888889</v>
      </c>
      <c r="X144" s="83" t="str">
        <f>X139</f>
        <v>펠몬강화</v>
      </c>
      <c r="Z144" s="75" t="s">
        <v>33</v>
      </c>
      <c r="AA144" s="76">
        <v>1.2916666666666667</v>
      </c>
      <c r="AB144" s="77" t="s">
        <v>19</v>
      </c>
      <c r="AC144" s="78">
        <v>1.4576388888888889</v>
      </c>
      <c r="AD144" s="84" t="str">
        <f>AD139</f>
        <v>건물레벨업</v>
      </c>
      <c r="AF144" s="75" t="s">
        <v>33</v>
      </c>
      <c r="AG144" s="76">
        <v>1.2916666666666667</v>
      </c>
      <c r="AH144" s="77" t="s">
        <v>19</v>
      </c>
      <c r="AI144" s="78">
        <v>1.4576388888888889</v>
      </c>
      <c r="AJ144" s="85" t="str">
        <f>AJ139</f>
        <v>아미고훈련</v>
      </c>
      <c r="AL144" s="75" t="s">
        <v>33</v>
      </c>
      <c r="AM144" s="76">
        <v>1.2916666666666667</v>
      </c>
      <c r="AN144" s="77" t="s">
        <v>19</v>
      </c>
      <c r="AO144" s="78">
        <v>1.4576388888888889</v>
      </c>
      <c r="AP144" s="86" t="str">
        <f>AP139</f>
        <v>기술연구</v>
      </c>
    </row>
  </sheetData>
  <mergeCells count="525">
    <mergeCell ref="N4:Q4"/>
    <mergeCell ref="T4:W4"/>
    <mergeCell ref="Z4:AC4"/>
    <mergeCell ref="AF4:AJ4"/>
    <mergeCell ref="AL4:AP4"/>
    <mergeCell ref="K32:K33"/>
    <mergeCell ref="L32:L33"/>
    <mergeCell ref="N32:N33"/>
    <mergeCell ref="O32:P33"/>
    <mergeCell ref="Q32:Q33"/>
    <mergeCell ref="B1:AP1"/>
    <mergeCell ref="B31:E31"/>
    <mergeCell ref="H31:K31"/>
    <mergeCell ref="N31:Q31"/>
    <mergeCell ref="T31:W31"/>
    <mergeCell ref="Z31:AC31"/>
    <mergeCell ref="AF31:AI31"/>
    <mergeCell ref="AL31:AO31"/>
    <mergeCell ref="AP32:AP33"/>
    <mergeCell ref="AJ32:AJ33"/>
    <mergeCell ref="B3:E3"/>
    <mergeCell ref="H3:K3"/>
    <mergeCell ref="N3:Q3"/>
    <mergeCell ref="T3:W3"/>
    <mergeCell ref="Z3:AC3"/>
    <mergeCell ref="AF3:AJ3"/>
    <mergeCell ref="AL3:AP3"/>
    <mergeCell ref="B4:E4"/>
    <mergeCell ref="H4:K4"/>
    <mergeCell ref="AC32:AC33"/>
    <mergeCell ref="AD32:AD33"/>
    <mergeCell ref="AF32:AF33"/>
    <mergeCell ref="AG32:AH33"/>
    <mergeCell ref="AI32:AI33"/>
    <mergeCell ref="T32:T33"/>
    <mergeCell ref="U32:V33"/>
    <mergeCell ref="W32:W33"/>
    <mergeCell ref="X32:X33"/>
    <mergeCell ref="Z32:Z33"/>
    <mergeCell ref="AA32:AB33"/>
    <mergeCell ref="AL34:AO34"/>
    <mergeCell ref="B42:E42"/>
    <mergeCell ref="H42:K42"/>
    <mergeCell ref="N42:Q42"/>
    <mergeCell ref="T42:W42"/>
    <mergeCell ref="Z42:AC42"/>
    <mergeCell ref="AF42:AI42"/>
    <mergeCell ref="AL42:AO42"/>
    <mergeCell ref="AL32:AL33"/>
    <mergeCell ref="AM32:AN33"/>
    <mergeCell ref="AO32:AO33"/>
    <mergeCell ref="R32:R33"/>
    <mergeCell ref="B32:B33"/>
    <mergeCell ref="C32:D33"/>
    <mergeCell ref="E32:E33"/>
    <mergeCell ref="F32:F33"/>
    <mergeCell ref="H32:H33"/>
    <mergeCell ref="I32:J33"/>
    <mergeCell ref="B34:E34"/>
    <mergeCell ref="H34:K34"/>
    <mergeCell ref="N34:Q34"/>
    <mergeCell ref="T34:W34"/>
    <mergeCell ref="Z34:AC34"/>
    <mergeCell ref="AF34:AI34"/>
    <mergeCell ref="AP43:AP44"/>
    <mergeCell ref="B45:E45"/>
    <mergeCell ref="H45:K45"/>
    <mergeCell ref="N45:Q45"/>
    <mergeCell ref="T45:W45"/>
    <mergeCell ref="Z45:AC45"/>
    <mergeCell ref="AF45:AI45"/>
    <mergeCell ref="AC43:AC44"/>
    <mergeCell ref="AD43:AD44"/>
    <mergeCell ref="AF43:AF44"/>
    <mergeCell ref="AG43:AH44"/>
    <mergeCell ref="AI43:AI44"/>
    <mergeCell ref="AJ43:AJ44"/>
    <mergeCell ref="T43:T44"/>
    <mergeCell ref="U43:V44"/>
    <mergeCell ref="W43:W44"/>
    <mergeCell ref="X43:X44"/>
    <mergeCell ref="Z43:Z44"/>
    <mergeCell ref="AA43:AB44"/>
    <mergeCell ref="K43:K44"/>
    <mergeCell ref="L43:L44"/>
    <mergeCell ref="N43:N44"/>
    <mergeCell ref="O43:P44"/>
    <mergeCell ref="Q43:Q44"/>
    <mergeCell ref="AL45:AO45"/>
    <mergeCell ref="B53:E53"/>
    <mergeCell ref="H53:K53"/>
    <mergeCell ref="N53:Q53"/>
    <mergeCell ref="T53:W53"/>
    <mergeCell ref="Z53:AC53"/>
    <mergeCell ref="AF53:AI53"/>
    <mergeCell ref="AL53:AO53"/>
    <mergeCell ref="AL43:AL44"/>
    <mergeCell ref="AM43:AN44"/>
    <mergeCell ref="AO43:AO44"/>
    <mergeCell ref="R43:R44"/>
    <mergeCell ref="B43:B44"/>
    <mergeCell ref="C43:D44"/>
    <mergeCell ref="E43:E44"/>
    <mergeCell ref="F43:F44"/>
    <mergeCell ref="H43:H44"/>
    <mergeCell ref="I43:J44"/>
    <mergeCell ref="AP54:AP55"/>
    <mergeCell ref="B56:E56"/>
    <mergeCell ref="H56:K56"/>
    <mergeCell ref="N56:Q56"/>
    <mergeCell ref="T56:W56"/>
    <mergeCell ref="Z56:AC56"/>
    <mergeCell ref="AF56:AI56"/>
    <mergeCell ref="AC54:AC55"/>
    <mergeCell ref="AD54:AD55"/>
    <mergeCell ref="AF54:AF55"/>
    <mergeCell ref="AG54:AH55"/>
    <mergeCell ref="AI54:AI55"/>
    <mergeCell ref="AJ54:AJ55"/>
    <mergeCell ref="T54:T55"/>
    <mergeCell ref="U54:V55"/>
    <mergeCell ref="W54:W55"/>
    <mergeCell ref="X54:X55"/>
    <mergeCell ref="Z54:Z55"/>
    <mergeCell ref="AA54:AB55"/>
    <mergeCell ref="K54:K55"/>
    <mergeCell ref="L54:L55"/>
    <mergeCell ref="N54:N55"/>
    <mergeCell ref="O54:P55"/>
    <mergeCell ref="Q54:Q55"/>
    <mergeCell ref="AL56:AO56"/>
    <mergeCell ref="B64:E64"/>
    <mergeCell ref="H64:K64"/>
    <mergeCell ref="N64:Q64"/>
    <mergeCell ref="T64:W64"/>
    <mergeCell ref="Z64:AC64"/>
    <mergeCell ref="AF64:AI64"/>
    <mergeCell ref="AL64:AO64"/>
    <mergeCell ref="AL54:AL55"/>
    <mergeCell ref="AM54:AN55"/>
    <mergeCell ref="AO54:AO55"/>
    <mergeCell ref="R54:R55"/>
    <mergeCell ref="B54:B55"/>
    <mergeCell ref="C54:D55"/>
    <mergeCell ref="E54:E55"/>
    <mergeCell ref="F54:F55"/>
    <mergeCell ref="H54:H55"/>
    <mergeCell ref="I54:J55"/>
    <mergeCell ref="N65:N66"/>
    <mergeCell ref="O65:P66"/>
    <mergeCell ref="Q65:Q66"/>
    <mergeCell ref="R65:R66"/>
    <mergeCell ref="B65:B66"/>
    <mergeCell ref="C65:D66"/>
    <mergeCell ref="E65:E66"/>
    <mergeCell ref="F65:F66"/>
    <mergeCell ref="H65:H66"/>
    <mergeCell ref="I65:J66"/>
    <mergeCell ref="AL65:AL66"/>
    <mergeCell ref="AM65:AN66"/>
    <mergeCell ref="AO65:AO66"/>
    <mergeCell ref="AP65:AP66"/>
    <mergeCell ref="B67:E67"/>
    <mergeCell ref="H67:K67"/>
    <mergeCell ref="N67:Q67"/>
    <mergeCell ref="T67:W67"/>
    <mergeCell ref="Z67:AC67"/>
    <mergeCell ref="AF67:AI67"/>
    <mergeCell ref="AC65:AC66"/>
    <mergeCell ref="AD65:AD66"/>
    <mergeCell ref="AF65:AF66"/>
    <mergeCell ref="AG65:AH66"/>
    <mergeCell ref="AI65:AI66"/>
    <mergeCell ref="AJ65:AJ66"/>
    <mergeCell ref="T65:T66"/>
    <mergeCell ref="U65:V66"/>
    <mergeCell ref="W65:W66"/>
    <mergeCell ref="X65:X66"/>
    <mergeCell ref="Z65:Z66"/>
    <mergeCell ref="AA65:AB66"/>
    <mergeCell ref="K65:K66"/>
    <mergeCell ref="L65:L66"/>
    <mergeCell ref="AL67:AO67"/>
    <mergeCell ref="B75:AP75"/>
    <mergeCell ref="B83:E83"/>
    <mergeCell ref="H83:K83"/>
    <mergeCell ref="N83:Q83"/>
    <mergeCell ref="T83:W83"/>
    <mergeCell ref="Z83:AC83"/>
    <mergeCell ref="AF83:AI83"/>
    <mergeCell ref="AL83:AO83"/>
    <mergeCell ref="AP84:AP85"/>
    <mergeCell ref="B86:E86"/>
    <mergeCell ref="H86:K86"/>
    <mergeCell ref="N86:Q86"/>
    <mergeCell ref="T86:W86"/>
    <mergeCell ref="Z86:AC86"/>
    <mergeCell ref="AF86:AI86"/>
    <mergeCell ref="AC84:AC85"/>
    <mergeCell ref="AD84:AD85"/>
    <mergeCell ref="AF84:AF85"/>
    <mergeCell ref="AG84:AH85"/>
    <mergeCell ref="AI84:AI85"/>
    <mergeCell ref="AJ84:AJ85"/>
    <mergeCell ref="T84:T85"/>
    <mergeCell ref="U84:V85"/>
    <mergeCell ref="W84:W85"/>
    <mergeCell ref="X84:X85"/>
    <mergeCell ref="Z84:Z85"/>
    <mergeCell ref="AA84:AB85"/>
    <mergeCell ref="K84:K85"/>
    <mergeCell ref="L84:L85"/>
    <mergeCell ref="N84:N85"/>
    <mergeCell ref="O84:P85"/>
    <mergeCell ref="Q84:Q85"/>
    <mergeCell ref="AL86:AO86"/>
    <mergeCell ref="B94:E94"/>
    <mergeCell ref="H94:K94"/>
    <mergeCell ref="N94:Q94"/>
    <mergeCell ref="T94:W94"/>
    <mergeCell ref="Z94:AC94"/>
    <mergeCell ref="AF94:AI94"/>
    <mergeCell ref="AL94:AO94"/>
    <mergeCell ref="AL84:AL85"/>
    <mergeCell ref="AM84:AN85"/>
    <mergeCell ref="AO84:AO85"/>
    <mergeCell ref="R84:R85"/>
    <mergeCell ref="B84:B85"/>
    <mergeCell ref="C84:D85"/>
    <mergeCell ref="E84:E85"/>
    <mergeCell ref="F84:F85"/>
    <mergeCell ref="H84:H85"/>
    <mergeCell ref="I84:J85"/>
    <mergeCell ref="AP95:AP96"/>
    <mergeCell ref="B97:E97"/>
    <mergeCell ref="H97:K97"/>
    <mergeCell ref="N97:Q97"/>
    <mergeCell ref="T97:W97"/>
    <mergeCell ref="Z97:AC97"/>
    <mergeCell ref="AF97:AI97"/>
    <mergeCell ref="AC95:AC96"/>
    <mergeCell ref="AD95:AD96"/>
    <mergeCell ref="AF95:AF96"/>
    <mergeCell ref="AG95:AH96"/>
    <mergeCell ref="AI95:AI96"/>
    <mergeCell ref="AJ95:AJ96"/>
    <mergeCell ref="T95:T96"/>
    <mergeCell ref="U95:V96"/>
    <mergeCell ref="W95:W96"/>
    <mergeCell ref="X95:X96"/>
    <mergeCell ref="Z95:Z96"/>
    <mergeCell ref="AA95:AB96"/>
    <mergeCell ref="K95:K96"/>
    <mergeCell ref="L95:L96"/>
    <mergeCell ref="N95:N96"/>
    <mergeCell ref="O95:P96"/>
    <mergeCell ref="Q95:Q96"/>
    <mergeCell ref="AL97:AO97"/>
    <mergeCell ref="B105:E105"/>
    <mergeCell ref="H105:K105"/>
    <mergeCell ref="N105:Q105"/>
    <mergeCell ref="T105:W105"/>
    <mergeCell ref="Z105:AC105"/>
    <mergeCell ref="AF105:AI105"/>
    <mergeCell ref="AL105:AO105"/>
    <mergeCell ref="AL95:AL96"/>
    <mergeCell ref="AM95:AN96"/>
    <mergeCell ref="AO95:AO96"/>
    <mergeCell ref="R95:R96"/>
    <mergeCell ref="B95:B96"/>
    <mergeCell ref="C95:D96"/>
    <mergeCell ref="E95:E96"/>
    <mergeCell ref="F95:F96"/>
    <mergeCell ref="H95:H96"/>
    <mergeCell ref="I95:J96"/>
    <mergeCell ref="AP106:AP107"/>
    <mergeCell ref="B108:E108"/>
    <mergeCell ref="H108:K108"/>
    <mergeCell ref="N108:Q108"/>
    <mergeCell ref="T108:W108"/>
    <mergeCell ref="Z108:AC108"/>
    <mergeCell ref="AF108:AI108"/>
    <mergeCell ref="AC106:AC107"/>
    <mergeCell ref="AD106:AD107"/>
    <mergeCell ref="AF106:AF107"/>
    <mergeCell ref="AG106:AH107"/>
    <mergeCell ref="AI106:AI107"/>
    <mergeCell ref="AJ106:AJ107"/>
    <mergeCell ref="T106:T107"/>
    <mergeCell ref="U106:V107"/>
    <mergeCell ref="W106:W107"/>
    <mergeCell ref="X106:X107"/>
    <mergeCell ref="Z106:Z107"/>
    <mergeCell ref="AA106:AB107"/>
    <mergeCell ref="K106:K107"/>
    <mergeCell ref="L106:L107"/>
    <mergeCell ref="N106:N107"/>
    <mergeCell ref="O106:P107"/>
    <mergeCell ref="Q106:Q107"/>
    <mergeCell ref="AL108:AO108"/>
    <mergeCell ref="B116:E116"/>
    <mergeCell ref="H116:K116"/>
    <mergeCell ref="N116:Q116"/>
    <mergeCell ref="T116:W116"/>
    <mergeCell ref="Z116:AC116"/>
    <mergeCell ref="AF116:AI116"/>
    <mergeCell ref="AL116:AO116"/>
    <mergeCell ref="AL106:AL107"/>
    <mergeCell ref="AM106:AN107"/>
    <mergeCell ref="AO106:AO107"/>
    <mergeCell ref="R106:R107"/>
    <mergeCell ref="B106:B107"/>
    <mergeCell ref="C106:D107"/>
    <mergeCell ref="E106:E107"/>
    <mergeCell ref="F106:F107"/>
    <mergeCell ref="H106:H107"/>
    <mergeCell ref="I106:J107"/>
    <mergeCell ref="N117:N118"/>
    <mergeCell ref="O117:P118"/>
    <mergeCell ref="Q117:Q118"/>
    <mergeCell ref="R117:R118"/>
    <mergeCell ref="B117:B118"/>
    <mergeCell ref="C117:D118"/>
    <mergeCell ref="E117:E118"/>
    <mergeCell ref="F117:F118"/>
    <mergeCell ref="H117:H118"/>
    <mergeCell ref="I117:J118"/>
    <mergeCell ref="AL117:AL118"/>
    <mergeCell ref="AM117:AN118"/>
    <mergeCell ref="AO117:AO118"/>
    <mergeCell ref="AP117:AP118"/>
    <mergeCell ref="B119:E119"/>
    <mergeCell ref="H119:K119"/>
    <mergeCell ref="N119:Q119"/>
    <mergeCell ref="T119:W119"/>
    <mergeCell ref="Z119:AC119"/>
    <mergeCell ref="AF119:AI119"/>
    <mergeCell ref="AC117:AC118"/>
    <mergeCell ref="AD117:AD118"/>
    <mergeCell ref="AF117:AF118"/>
    <mergeCell ref="AG117:AH118"/>
    <mergeCell ref="AI117:AI118"/>
    <mergeCell ref="AJ117:AJ118"/>
    <mergeCell ref="T117:T118"/>
    <mergeCell ref="U117:V118"/>
    <mergeCell ref="W117:W118"/>
    <mergeCell ref="X117:X118"/>
    <mergeCell ref="Z117:Z118"/>
    <mergeCell ref="AA117:AB118"/>
    <mergeCell ref="K117:K118"/>
    <mergeCell ref="L117:L118"/>
    <mergeCell ref="AL119:AO119"/>
    <mergeCell ref="B127:AP127"/>
    <mergeCell ref="B135:E135"/>
    <mergeCell ref="H135:K135"/>
    <mergeCell ref="N135:Q135"/>
    <mergeCell ref="T135:W135"/>
    <mergeCell ref="Z135:AC135"/>
    <mergeCell ref="AF135:AI135"/>
    <mergeCell ref="AL135:AO135"/>
    <mergeCell ref="L136:L137"/>
    <mergeCell ref="N136:N137"/>
    <mergeCell ref="O136:P137"/>
    <mergeCell ref="Q136:Q137"/>
    <mergeCell ref="R136:R137"/>
    <mergeCell ref="B136:B137"/>
    <mergeCell ref="C136:D137"/>
    <mergeCell ref="E136:E137"/>
    <mergeCell ref="F136:F137"/>
    <mergeCell ref="H136:H137"/>
    <mergeCell ref="I136:J137"/>
    <mergeCell ref="AL138:AO138"/>
    <mergeCell ref="AL136:AL137"/>
    <mergeCell ref="AM136:AN137"/>
    <mergeCell ref="AO136:AO137"/>
    <mergeCell ref="AP136:AP137"/>
    <mergeCell ref="B138:E138"/>
    <mergeCell ref="H138:K138"/>
    <mergeCell ref="N138:Q138"/>
    <mergeCell ref="T138:W138"/>
    <mergeCell ref="Z138:AC138"/>
    <mergeCell ref="AF138:AI138"/>
    <mergeCell ref="AC136:AC137"/>
    <mergeCell ref="AD136:AD137"/>
    <mergeCell ref="AF136:AF137"/>
    <mergeCell ref="AG136:AH137"/>
    <mergeCell ref="AI136:AI137"/>
    <mergeCell ref="AJ136:AJ137"/>
    <mergeCell ref="T136:T137"/>
    <mergeCell ref="U136:V137"/>
    <mergeCell ref="W136:W137"/>
    <mergeCell ref="X136:X137"/>
    <mergeCell ref="Z136:Z137"/>
    <mergeCell ref="AA136:AB137"/>
    <mergeCell ref="K136:K137"/>
    <mergeCell ref="C5:E5"/>
    <mergeCell ref="I5:K5"/>
    <mergeCell ref="O5:Q5"/>
    <mergeCell ref="U5:W5"/>
    <mergeCell ref="AA5:AC5"/>
    <mergeCell ref="AG5:AI5"/>
    <mergeCell ref="AM5:AO5"/>
    <mergeCell ref="C6:E6"/>
    <mergeCell ref="I6:K6"/>
    <mergeCell ref="O6:Q6"/>
    <mergeCell ref="U6:W6"/>
    <mergeCell ref="AA6:AC6"/>
    <mergeCell ref="AG6:AI6"/>
    <mergeCell ref="AM6:AO6"/>
    <mergeCell ref="C7:E7"/>
    <mergeCell ref="I7:K7"/>
    <mergeCell ref="O7:Q7"/>
    <mergeCell ref="U7:W7"/>
    <mergeCell ref="AA7:AC7"/>
    <mergeCell ref="AG7:AI7"/>
    <mergeCell ref="AM7:AO7"/>
    <mergeCell ref="C8:E8"/>
    <mergeCell ref="I8:K8"/>
    <mergeCell ref="O8:Q8"/>
    <mergeCell ref="U8:W8"/>
    <mergeCell ref="AA8:AC8"/>
    <mergeCell ref="AG8:AI8"/>
    <mergeCell ref="AM8:AO8"/>
    <mergeCell ref="C9:E9"/>
    <mergeCell ref="I9:K9"/>
    <mergeCell ref="O9:Q9"/>
    <mergeCell ref="U9:W9"/>
    <mergeCell ref="AA9:AC9"/>
    <mergeCell ref="AG9:AI9"/>
    <mergeCell ref="AM9:AO9"/>
    <mergeCell ref="C10:E10"/>
    <mergeCell ref="I10:K10"/>
    <mergeCell ref="O10:Q10"/>
    <mergeCell ref="U10:W10"/>
    <mergeCell ref="AA10:AC10"/>
    <mergeCell ref="AG10:AI10"/>
    <mergeCell ref="AM10:AO10"/>
    <mergeCell ref="C11:E11"/>
    <mergeCell ref="I11:K11"/>
    <mergeCell ref="O11:Q11"/>
    <mergeCell ref="U11:W11"/>
    <mergeCell ref="AA11:AC11"/>
    <mergeCell ref="AF11:AI11"/>
    <mergeCell ref="AM11:AO11"/>
    <mergeCell ref="C12:E12"/>
    <mergeCell ref="I12:K12"/>
    <mergeCell ref="O12:Q12"/>
    <mergeCell ref="U12:W12"/>
    <mergeCell ref="AA12:AC12"/>
    <mergeCell ref="AF12:AI12"/>
    <mergeCell ref="AL12:AO12"/>
    <mergeCell ref="C13:E13"/>
    <mergeCell ref="I13:K13"/>
    <mergeCell ref="O13:Q13"/>
    <mergeCell ref="U13:W13"/>
    <mergeCell ref="AA13:AC13"/>
    <mergeCell ref="AF13:AI13"/>
    <mergeCell ref="AL13:AO13"/>
    <mergeCell ref="C14:E14"/>
    <mergeCell ref="I14:K14"/>
    <mergeCell ref="O14:Q14"/>
    <mergeCell ref="U14:W14"/>
    <mergeCell ref="AA14:AC14"/>
    <mergeCell ref="AF14:AI14"/>
    <mergeCell ref="AL14:AO14"/>
    <mergeCell ref="C15:E15"/>
    <mergeCell ref="I15:K15"/>
    <mergeCell ref="O15:Q15"/>
    <mergeCell ref="U15:W15"/>
    <mergeCell ref="AA15:AC15"/>
    <mergeCell ref="AF15:AI15"/>
    <mergeCell ref="AL15:AO15"/>
    <mergeCell ref="C16:E16"/>
    <mergeCell ref="I16:K16"/>
    <mergeCell ref="O16:Q16"/>
    <mergeCell ref="U16:W16"/>
    <mergeCell ref="AA16:AC16"/>
    <mergeCell ref="AF16:AI16"/>
    <mergeCell ref="AL16:AO16"/>
    <mergeCell ref="C17:E17"/>
    <mergeCell ref="I17:K17"/>
    <mergeCell ref="O17:Q17"/>
    <mergeCell ref="U17:W17"/>
    <mergeCell ref="AA17:AC17"/>
    <mergeCell ref="AF17:AI17"/>
    <mergeCell ref="AL17:AO17"/>
    <mergeCell ref="C18:E18"/>
    <mergeCell ref="I18:K18"/>
    <mergeCell ref="O18:Q18"/>
    <mergeCell ref="U18:W18"/>
    <mergeCell ref="AA18:AC18"/>
    <mergeCell ref="AF18:AI18"/>
    <mergeCell ref="AL18:AO18"/>
    <mergeCell ref="C19:E19"/>
    <mergeCell ref="I19:K19"/>
    <mergeCell ref="O19:Q19"/>
    <mergeCell ref="U19:W19"/>
    <mergeCell ref="AA19:AC19"/>
    <mergeCell ref="AF19:AI19"/>
    <mergeCell ref="AL19:AO19"/>
    <mergeCell ref="C20:E20"/>
    <mergeCell ref="I20:K20"/>
    <mergeCell ref="O20:Q20"/>
    <mergeCell ref="U20:W20"/>
    <mergeCell ref="AA20:AC20"/>
    <mergeCell ref="AF20:AI20"/>
    <mergeCell ref="AL20:AO20"/>
    <mergeCell ref="C23:E23"/>
    <mergeCell ref="I23:K23"/>
    <mergeCell ref="O23:Q23"/>
    <mergeCell ref="U23:W23"/>
    <mergeCell ref="AA23:AC23"/>
    <mergeCell ref="AG23:AI23"/>
    <mergeCell ref="AM23:AO23"/>
    <mergeCell ref="C21:E21"/>
    <mergeCell ref="I21:K21"/>
    <mergeCell ref="O21:Q21"/>
    <mergeCell ref="U21:W21"/>
    <mergeCell ref="AA21:AC21"/>
    <mergeCell ref="AF21:AJ21"/>
    <mergeCell ref="C22:E22"/>
    <mergeCell ref="I22:K22"/>
    <mergeCell ref="O22:Q22"/>
    <mergeCell ref="U22:W22"/>
    <mergeCell ref="AA22:AC22"/>
  </mergeCells>
  <phoneticPr fontId="18" type="noConversion"/>
  <printOptions horizontalCentered="1"/>
  <pageMargins left="0" right="0" top="0.39370078740157483" bottom="0.39370078740157483" header="0.31496062992125984" footer="0.31496062992125984"/>
  <pageSetup paperSize="9"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AP64"/>
  <sheetViews>
    <sheetView workbookViewId="0">
      <pane ySplit="1" topLeftCell="A2" activePane="bottomLeft" state="frozen"/>
      <selection pane="bottomLeft" sqref="A1:XFD1"/>
    </sheetView>
  </sheetViews>
  <sheetFormatPr defaultRowHeight="17.25" customHeight="1"/>
  <cols>
    <col min="1" max="1" width="1" customWidth="1"/>
    <col min="2" max="2" width="6.625" style="1" customWidth="1"/>
    <col min="3" max="3" width="7" style="2" customWidth="1"/>
    <col min="4" max="4" width="1.625" style="3" customWidth="1"/>
    <col min="5" max="5" width="7" style="2" customWidth="1"/>
    <col min="6" max="6" width="9.25" style="4" customWidth="1"/>
    <col min="7" max="7" width="0.5" customWidth="1"/>
    <col min="8" max="8" width="6.625" style="1" customWidth="1"/>
    <col min="9" max="9" width="7" style="2" customWidth="1"/>
    <col min="10" max="10" width="1.625" style="3" customWidth="1"/>
    <col min="11" max="11" width="7" style="2" customWidth="1"/>
    <col min="12" max="12" width="9.25" style="4" customWidth="1"/>
    <col min="13" max="13" width="0.5" customWidth="1"/>
    <col min="14" max="14" width="6.625" style="1" customWidth="1"/>
    <col min="15" max="15" width="7" style="2" customWidth="1"/>
    <col min="16" max="16" width="1.625" style="3" customWidth="1"/>
    <col min="17" max="17" width="7" style="2" customWidth="1"/>
    <col min="18" max="18" width="9.25" style="4" customWidth="1"/>
    <col min="19" max="19" width="0.5" customWidth="1"/>
    <col min="20" max="20" width="6.625" style="1" customWidth="1"/>
    <col min="21" max="21" width="7" style="2" customWidth="1"/>
    <col min="22" max="22" width="1.625" style="3" customWidth="1"/>
    <col min="23" max="23" width="7" style="2" customWidth="1"/>
    <col min="24" max="24" width="9.25" style="4" customWidth="1"/>
    <col min="25" max="25" width="0.5" customWidth="1"/>
    <col min="26" max="26" width="6.625" style="1" customWidth="1"/>
    <col min="27" max="27" width="7" style="2" customWidth="1"/>
    <col min="28" max="28" width="1.625" style="3" customWidth="1"/>
    <col min="29" max="29" width="7" style="2" customWidth="1"/>
    <col min="30" max="30" width="9.25" style="4" customWidth="1"/>
    <col min="31" max="31" width="0.5" customWidth="1"/>
    <col min="32" max="32" width="6.625" style="1" customWidth="1"/>
    <col min="33" max="33" width="7" style="2" customWidth="1"/>
    <col min="34" max="34" width="1.625" style="3" customWidth="1"/>
    <col min="35" max="35" width="7" style="2" customWidth="1"/>
    <col min="36" max="36" width="9.25" style="4" customWidth="1"/>
    <col min="37" max="37" width="0.5" customWidth="1"/>
    <col min="38" max="38" width="6.625" style="1" customWidth="1"/>
    <col min="39" max="39" width="7" style="2" customWidth="1"/>
    <col min="40" max="40" width="1.625" style="3" customWidth="1"/>
    <col min="41" max="41" width="7" style="2" customWidth="1"/>
    <col min="42" max="42" width="9.25" style="4" customWidth="1"/>
    <col min="43" max="43" width="1.375" customWidth="1"/>
  </cols>
  <sheetData>
    <row r="1" spans="2:42" ht="36.75" hidden="1" customHeight="1">
      <c r="B1" s="261" t="s">
        <v>138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</row>
    <row r="2" spans="2:42" ht="4.5" customHeight="1"/>
    <row r="3" spans="2:42" ht="22.5" hidden="1" customHeight="1">
      <c r="B3" s="5"/>
      <c r="C3" s="6"/>
      <c r="D3" s="7"/>
      <c r="E3" s="6"/>
      <c r="F3" s="8"/>
      <c r="G3" s="9"/>
      <c r="H3" s="5"/>
      <c r="I3" s="6"/>
      <c r="J3" s="7"/>
      <c r="K3" s="6"/>
      <c r="L3" s="8"/>
      <c r="M3" s="9"/>
      <c r="N3" s="5"/>
      <c r="O3" s="6"/>
      <c r="P3" s="7"/>
      <c r="Q3" s="6"/>
      <c r="R3" s="8"/>
      <c r="S3" s="9"/>
      <c r="T3" s="5"/>
      <c r="U3" s="6"/>
      <c r="V3" s="7"/>
      <c r="W3" s="6"/>
      <c r="X3" s="8"/>
      <c r="Y3" s="9"/>
      <c r="Z3" s="5"/>
      <c r="AA3" s="6"/>
      <c r="AB3" s="7"/>
      <c r="AC3" s="6"/>
      <c r="AD3" s="8"/>
      <c r="AE3" s="9"/>
      <c r="AF3" s="5"/>
      <c r="AG3" s="6"/>
      <c r="AH3" s="7"/>
      <c r="AI3" s="6"/>
      <c r="AJ3" s="8"/>
      <c r="AK3" s="9"/>
      <c r="AL3" s="5"/>
      <c r="AM3" s="6"/>
      <c r="AN3" s="7"/>
      <c r="AO3" s="6"/>
      <c r="AP3" s="8"/>
    </row>
    <row r="4" spans="2:42" ht="22.5" hidden="1" customHeight="1">
      <c r="B4" s="10"/>
      <c r="C4" s="11"/>
      <c r="D4" s="12"/>
      <c r="E4" s="11"/>
      <c r="F4" s="13"/>
      <c r="G4" s="14"/>
      <c r="H4" s="10"/>
      <c r="I4" s="11"/>
      <c r="J4" s="12"/>
      <c r="K4" s="11"/>
      <c r="L4" s="13"/>
      <c r="M4" s="14"/>
      <c r="N4" s="10"/>
      <c r="O4" s="11"/>
      <c r="P4" s="12"/>
      <c r="Q4" s="11"/>
      <c r="R4" s="13"/>
      <c r="S4" s="14"/>
      <c r="T4" s="10"/>
      <c r="U4" s="11"/>
      <c r="V4" s="12"/>
      <c r="W4" s="11"/>
      <c r="X4" s="13"/>
      <c r="Y4" s="14"/>
      <c r="Z4" s="10"/>
      <c r="AA4" s="11"/>
      <c r="AB4" s="12"/>
      <c r="AC4" s="11"/>
      <c r="AD4" s="13"/>
      <c r="AE4" s="14"/>
      <c r="AF4" s="10"/>
      <c r="AG4" s="11"/>
      <c r="AH4" s="12"/>
      <c r="AI4" s="11"/>
      <c r="AJ4" s="13"/>
      <c r="AK4" s="14"/>
      <c r="AL4" s="10"/>
      <c r="AM4" s="11"/>
      <c r="AN4" s="12"/>
      <c r="AO4" s="11"/>
      <c r="AP4" s="13"/>
    </row>
    <row r="5" spans="2:42" ht="22.5" hidden="1" customHeight="1">
      <c r="B5" s="10"/>
      <c r="C5" s="15"/>
      <c r="D5" s="16"/>
      <c r="E5" s="15"/>
      <c r="F5" s="17"/>
      <c r="G5" s="18"/>
      <c r="H5" s="19"/>
      <c r="I5" s="15"/>
      <c r="J5" s="16"/>
      <c r="K5" s="15"/>
      <c r="L5" s="17"/>
      <c r="M5" s="18"/>
      <c r="N5" s="19"/>
      <c r="O5" s="15"/>
      <c r="P5" s="16"/>
      <c r="Q5" s="15"/>
      <c r="R5" s="17"/>
      <c r="S5" s="18"/>
      <c r="T5" s="19"/>
      <c r="U5" s="15"/>
      <c r="V5" s="16"/>
      <c r="W5" s="15"/>
      <c r="X5" s="17"/>
      <c r="Y5" s="18"/>
      <c r="Z5" s="19"/>
      <c r="AA5" s="15"/>
      <c r="AB5" s="16"/>
      <c r="AC5" s="15"/>
      <c r="AD5" s="17"/>
      <c r="AE5" s="18"/>
      <c r="AF5" s="19"/>
      <c r="AG5" s="15"/>
      <c r="AH5" s="16"/>
      <c r="AI5" s="15"/>
      <c r="AJ5" s="17"/>
      <c r="AK5" s="18"/>
      <c r="AL5" s="19"/>
      <c r="AM5" s="15"/>
      <c r="AN5" s="16"/>
      <c r="AO5" s="15"/>
      <c r="AP5" s="17"/>
    </row>
    <row r="6" spans="2:42" ht="22.5" hidden="1" customHeight="1">
      <c r="B6" s="19"/>
      <c r="C6" s="15"/>
      <c r="D6" s="16"/>
      <c r="E6" s="15"/>
      <c r="F6" s="17"/>
      <c r="G6" s="18"/>
      <c r="H6" s="19"/>
      <c r="I6" s="15"/>
      <c r="J6" s="16"/>
      <c r="K6" s="15"/>
      <c r="L6" s="17"/>
      <c r="M6" s="18"/>
      <c r="N6" s="19"/>
      <c r="O6" s="15"/>
      <c r="P6" s="16"/>
      <c r="Q6" s="15"/>
      <c r="R6" s="17"/>
      <c r="S6" s="18"/>
      <c r="T6" s="19"/>
      <c r="U6" s="15"/>
      <c r="V6" s="16"/>
      <c r="W6" s="15"/>
      <c r="X6" s="17"/>
      <c r="Y6" s="18"/>
      <c r="Z6" s="19"/>
      <c r="AA6" s="15"/>
      <c r="AB6" s="16"/>
      <c r="AC6" s="15"/>
      <c r="AD6" s="17"/>
      <c r="AE6" s="18"/>
      <c r="AF6" s="19"/>
      <c r="AG6" s="15"/>
      <c r="AH6" s="16"/>
      <c r="AI6" s="15"/>
      <c r="AJ6" s="17"/>
      <c r="AK6" s="18"/>
      <c r="AL6" s="19"/>
      <c r="AM6" s="15"/>
      <c r="AN6" s="16"/>
      <c r="AO6" s="15"/>
      <c r="AP6" s="17"/>
    </row>
    <row r="7" spans="2:42" ht="22.5" hidden="1" customHeight="1">
      <c r="B7" s="19"/>
      <c r="C7" s="15"/>
      <c r="D7" s="16"/>
      <c r="E7" s="15"/>
      <c r="F7" s="17"/>
      <c r="G7" s="18"/>
      <c r="H7" s="19"/>
      <c r="I7" s="15"/>
      <c r="J7" s="16"/>
      <c r="K7" s="15"/>
      <c r="L7" s="17"/>
      <c r="M7" s="18"/>
      <c r="N7" s="19"/>
      <c r="O7" s="15"/>
      <c r="P7" s="16"/>
      <c r="Q7" s="15"/>
      <c r="R7" s="17"/>
      <c r="S7" s="18"/>
      <c r="T7" s="19"/>
      <c r="U7" s="15"/>
      <c r="V7" s="16"/>
      <c r="W7" s="15"/>
      <c r="X7" s="17"/>
      <c r="Y7" s="18"/>
      <c r="Z7" s="19"/>
      <c r="AA7" s="15"/>
      <c r="AB7" s="16"/>
      <c r="AC7" s="15"/>
      <c r="AD7" s="17"/>
      <c r="AE7" s="18"/>
      <c r="AF7" s="19"/>
      <c r="AG7" s="15"/>
      <c r="AH7" s="16"/>
      <c r="AI7" s="15"/>
      <c r="AJ7" s="17"/>
      <c r="AK7" s="18"/>
      <c r="AL7" s="19"/>
      <c r="AM7" s="15"/>
      <c r="AN7" s="16"/>
      <c r="AO7" s="15"/>
      <c r="AP7" s="17"/>
    </row>
    <row r="8" spans="2:42" ht="7.5" customHeight="1" thickBot="1"/>
    <row r="9" spans="2:42" s="21" customFormat="1" ht="17.25" customHeight="1" thickBot="1">
      <c r="B9" s="238" t="s">
        <v>1</v>
      </c>
      <c r="C9" s="239"/>
      <c r="D9" s="239"/>
      <c r="E9" s="240"/>
      <c r="F9" s="20" t="s">
        <v>2</v>
      </c>
      <c r="H9" s="241" t="s">
        <v>3</v>
      </c>
      <c r="I9" s="242"/>
      <c r="J9" s="242"/>
      <c r="K9" s="243"/>
      <c r="L9" s="22" t="s">
        <v>4</v>
      </c>
      <c r="N9" s="244" t="s">
        <v>5</v>
      </c>
      <c r="O9" s="245"/>
      <c r="P9" s="245"/>
      <c r="Q9" s="246"/>
      <c r="R9" s="23" t="s">
        <v>6</v>
      </c>
      <c r="T9" s="247" t="s">
        <v>7</v>
      </c>
      <c r="U9" s="248"/>
      <c r="V9" s="248"/>
      <c r="W9" s="249"/>
      <c r="X9" s="24" t="s">
        <v>8</v>
      </c>
      <c r="Z9" s="250" t="s">
        <v>9</v>
      </c>
      <c r="AA9" s="251"/>
      <c r="AB9" s="251"/>
      <c r="AC9" s="252"/>
      <c r="AD9" s="25" t="s">
        <v>10</v>
      </c>
      <c r="AF9" s="253" t="s">
        <v>141</v>
      </c>
      <c r="AG9" s="254"/>
      <c r="AH9" s="254"/>
      <c r="AI9" s="254"/>
      <c r="AJ9" s="255"/>
      <c r="AL9" s="253" t="s">
        <v>141</v>
      </c>
      <c r="AM9" s="254"/>
      <c r="AN9" s="254"/>
      <c r="AO9" s="254"/>
      <c r="AP9" s="255"/>
    </row>
    <row r="10" spans="2:42" ht="17.25" hidden="1" customHeight="1" thickBot="1">
      <c r="B10" s="208"/>
      <c r="C10" s="209"/>
      <c r="D10" s="209"/>
      <c r="E10" s="210"/>
      <c r="F10" s="87"/>
      <c r="H10" s="208"/>
      <c r="I10" s="209"/>
      <c r="J10" s="209"/>
      <c r="K10" s="210"/>
      <c r="L10" s="29"/>
      <c r="N10" s="208"/>
      <c r="O10" s="209"/>
      <c r="P10" s="209"/>
      <c r="Q10" s="210"/>
      <c r="R10" s="30"/>
      <c r="T10" s="208"/>
      <c r="U10" s="209"/>
      <c r="V10" s="209"/>
      <c r="W10" s="210"/>
      <c r="X10" s="31"/>
      <c r="Z10" s="208"/>
      <c r="AA10" s="209"/>
      <c r="AB10" s="209"/>
      <c r="AC10" s="210"/>
      <c r="AD10" s="32"/>
      <c r="AF10" s="208"/>
      <c r="AG10" s="209"/>
      <c r="AH10" s="209"/>
      <c r="AI10" s="209"/>
      <c r="AJ10" s="210"/>
      <c r="AL10" s="208"/>
      <c r="AM10" s="209"/>
      <c r="AN10" s="209"/>
      <c r="AO10" s="209"/>
      <c r="AP10" s="210"/>
    </row>
    <row r="11" spans="2:42" ht="17.25" customHeight="1">
      <c r="B11" s="91"/>
      <c r="C11" s="202" t="s">
        <v>55</v>
      </c>
      <c r="D11" s="203"/>
      <c r="E11" s="204"/>
      <c r="F11" s="151">
        <v>300</v>
      </c>
      <c r="H11" s="91"/>
      <c r="I11" s="202" t="s">
        <v>65</v>
      </c>
      <c r="J11" s="203"/>
      <c r="K11" s="204"/>
      <c r="L11" s="95">
        <v>118</v>
      </c>
      <c r="N11" s="91"/>
      <c r="O11" s="202" t="s">
        <v>68</v>
      </c>
      <c r="P11" s="203"/>
      <c r="Q11" s="204"/>
      <c r="R11" s="99">
        <v>118</v>
      </c>
      <c r="T11" s="123"/>
      <c r="U11" s="199" t="s">
        <v>81</v>
      </c>
      <c r="V11" s="200"/>
      <c r="W11" s="201"/>
      <c r="X11" s="126">
        <v>6900</v>
      </c>
      <c r="Z11" s="123"/>
      <c r="AA11" s="199" t="s">
        <v>56</v>
      </c>
      <c r="AB11" s="200"/>
      <c r="AC11" s="201"/>
      <c r="AD11" s="125">
        <v>28200</v>
      </c>
      <c r="AF11" s="123"/>
      <c r="AG11" s="175" t="s">
        <v>66</v>
      </c>
      <c r="AH11" s="176"/>
      <c r="AI11" s="177"/>
      <c r="AJ11" s="124">
        <v>200000</v>
      </c>
      <c r="AL11" s="60"/>
      <c r="AM11" s="162"/>
      <c r="AN11" s="163"/>
      <c r="AO11" s="164"/>
      <c r="AP11" s="107"/>
    </row>
    <row r="12" spans="2:42" ht="17.25" customHeight="1" thickBot="1">
      <c r="B12" s="149"/>
      <c r="C12" s="205" t="s">
        <v>56</v>
      </c>
      <c r="D12" s="206"/>
      <c r="E12" s="207"/>
      <c r="F12" s="150">
        <v>28200</v>
      </c>
      <c r="H12" s="128"/>
      <c r="I12" s="190" t="s">
        <v>70</v>
      </c>
      <c r="J12" s="191"/>
      <c r="K12" s="192"/>
      <c r="L12" s="142">
        <v>10</v>
      </c>
      <c r="N12" s="46"/>
      <c r="O12" s="162" t="s">
        <v>69</v>
      </c>
      <c r="P12" s="163"/>
      <c r="Q12" s="164"/>
      <c r="R12" s="100">
        <v>10</v>
      </c>
      <c r="T12" s="128"/>
      <c r="U12" s="190" t="s">
        <v>57</v>
      </c>
      <c r="V12" s="191"/>
      <c r="W12" s="192"/>
      <c r="X12" s="129">
        <v>2</v>
      </c>
      <c r="Z12" s="46"/>
      <c r="AA12" s="172" t="s">
        <v>85</v>
      </c>
      <c r="AB12" s="173"/>
      <c r="AC12" s="174"/>
      <c r="AD12" s="105">
        <v>118</v>
      </c>
      <c r="AF12" s="60"/>
      <c r="AG12" s="175" t="s">
        <v>67</v>
      </c>
      <c r="AH12" s="176"/>
      <c r="AI12" s="177"/>
      <c r="AJ12" s="124">
        <v>150000</v>
      </c>
      <c r="AL12" s="60"/>
      <c r="AM12" s="162"/>
      <c r="AN12" s="163"/>
      <c r="AO12" s="164"/>
      <c r="AP12" s="107"/>
    </row>
    <row r="13" spans="2:42" ht="17.25" customHeight="1" thickBot="1">
      <c r="B13" s="148"/>
      <c r="C13" s="172" t="s">
        <v>57</v>
      </c>
      <c r="D13" s="173"/>
      <c r="E13" s="174"/>
      <c r="F13" s="88">
        <v>2</v>
      </c>
      <c r="H13" s="119" t="s">
        <v>140</v>
      </c>
      <c r="I13" s="199" t="s">
        <v>66</v>
      </c>
      <c r="J13" s="200"/>
      <c r="K13" s="201"/>
      <c r="L13" s="143">
        <v>200000</v>
      </c>
      <c r="N13" s="128"/>
      <c r="O13" s="190" t="s">
        <v>71</v>
      </c>
      <c r="P13" s="191"/>
      <c r="Q13" s="192"/>
      <c r="R13" s="138">
        <v>600</v>
      </c>
      <c r="T13" s="123"/>
      <c r="U13" s="193" t="s">
        <v>82</v>
      </c>
      <c r="V13" s="194"/>
      <c r="W13" s="195"/>
      <c r="X13" s="132">
        <v>20000</v>
      </c>
      <c r="Z13" s="46"/>
      <c r="AA13" s="162" t="s">
        <v>70</v>
      </c>
      <c r="AB13" s="163"/>
      <c r="AC13" s="164"/>
      <c r="AD13" s="105">
        <v>10</v>
      </c>
      <c r="AF13" s="46"/>
      <c r="AG13" s="172" t="s">
        <v>85</v>
      </c>
      <c r="AH13" s="173"/>
      <c r="AI13" s="174"/>
      <c r="AJ13" s="107">
        <v>118</v>
      </c>
      <c r="AL13" s="60"/>
      <c r="AM13" s="162"/>
      <c r="AN13" s="163"/>
      <c r="AO13" s="164"/>
      <c r="AP13" s="107"/>
    </row>
    <row r="14" spans="2:42" ht="17.25" customHeight="1" thickBot="1">
      <c r="B14" s="111"/>
      <c r="C14" s="190" t="s">
        <v>58</v>
      </c>
      <c r="D14" s="191"/>
      <c r="E14" s="192"/>
      <c r="F14" s="145">
        <v>6</v>
      </c>
      <c r="H14" s="114" t="s">
        <v>139</v>
      </c>
      <c r="I14" s="168" t="s">
        <v>67</v>
      </c>
      <c r="J14" s="169"/>
      <c r="K14" s="170"/>
      <c r="L14" s="144">
        <v>150000</v>
      </c>
      <c r="N14" s="119"/>
      <c r="O14" s="193" t="s">
        <v>72</v>
      </c>
      <c r="P14" s="194"/>
      <c r="Q14" s="195"/>
      <c r="R14" s="139">
        <v>28200</v>
      </c>
      <c r="T14" s="133"/>
      <c r="U14" s="178" t="s">
        <v>83</v>
      </c>
      <c r="V14" s="179"/>
      <c r="W14" s="180"/>
      <c r="X14" s="134">
        <v>8000</v>
      </c>
      <c r="Z14" s="60"/>
      <c r="AA14" s="172" t="s">
        <v>86</v>
      </c>
      <c r="AB14" s="173"/>
      <c r="AC14" s="174"/>
      <c r="AD14" s="105">
        <v>118</v>
      </c>
      <c r="AF14" s="60"/>
      <c r="AG14" s="172" t="s">
        <v>86</v>
      </c>
      <c r="AH14" s="173"/>
      <c r="AI14" s="174"/>
      <c r="AJ14" s="107">
        <v>118</v>
      </c>
      <c r="AL14" s="60"/>
      <c r="AM14" s="162"/>
      <c r="AN14" s="163"/>
      <c r="AO14" s="164"/>
      <c r="AP14" s="107"/>
    </row>
    <row r="15" spans="2:42" ht="17.25" customHeight="1" thickBot="1">
      <c r="B15" s="146"/>
      <c r="C15" s="184" t="s">
        <v>59</v>
      </c>
      <c r="D15" s="185"/>
      <c r="E15" s="186"/>
      <c r="F15" s="147">
        <v>5000</v>
      </c>
      <c r="H15" s="118"/>
      <c r="I15" s="172" t="s">
        <v>63</v>
      </c>
      <c r="J15" s="173"/>
      <c r="K15" s="174"/>
      <c r="L15" s="95">
        <v>600</v>
      </c>
      <c r="N15" s="141"/>
      <c r="O15" s="187" t="s">
        <v>73</v>
      </c>
      <c r="P15" s="188"/>
      <c r="Q15" s="189"/>
      <c r="R15" s="112">
        <v>600</v>
      </c>
      <c r="T15" s="135"/>
      <c r="U15" s="181" t="s">
        <v>84</v>
      </c>
      <c r="V15" s="182"/>
      <c r="W15" s="183"/>
      <c r="X15" s="136">
        <v>4000</v>
      </c>
      <c r="Z15" s="111"/>
      <c r="AA15" s="190" t="s">
        <v>69</v>
      </c>
      <c r="AB15" s="191"/>
      <c r="AC15" s="192"/>
      <c r="AD15" s="117">
        <v>10</v>
      </c>
      <c r="AF15" s="60"/>
      <c r="AG15" s="172" t="s">
        <v>87</v>
      </c>
      <c r="AH15" s="173"/>
      <c r="AI15" s="174"/>
      <c r="AJ15" s="107">
        <v>118</v>
      </c>
      <c r="AL15" s="60"/>
      <c r="AM15" s="162"/>
      <c r="AN15" s="163"/>
      <c r="AO15" s="164"/>
      <c r="AP15" s="107"/>
    </row>
    <row r="16" spans="2:42" ht="17.25" customHeight="1">
      <c r="B16" s="118"/>
      <c r="C16" s="172" t="s">
        <v>60</v>
      </c>
      <c r="D16" s="173"/>
      <c r="E16" s="174"/>
      <c r="F16" s="88">
        <v>40</v>
      </c>
      <c r="H16" s="60"/>
      <c r="I16" s="162"/>
      <c r="J16" s="163"/>
      <c r="K16" s="164"/>
      <c r="L16" s="96"/>
      <c r="N16" s="123"/>
      <c r="O16" s="193" t="s">
        <v>75</v>
      </c>
      <c r="P16" s="194"/>
      <c r="Q16" s="195"/>
      <c r="R16" s="139">
        <v>300000</v>
      </c>
      <c r="T16" s="118"/>
      <c r="U16" s="196" t="s">
        <v>79</v>
      </c>
      <c r="V16" s="197"/>
      <c r="W16" s="198"/>
      <c r="X16" s="126">
        <v>200</v>
      </c>
      <c r="Z16" s="119"/>
      <c r="AA16" s="199" t="s">
        <v>87</v>
      </c>
      <c r="AB16" s="200"/>
      <c r="AC16" s="201"/>
      <c r="AD16" s="120">
        <v>118</v>
      </c>
      <c r="AF16" s="60"/>
      <c r="AG16" s="172" t="s">
        <v>99</v>
      </c>
      <c r="AH16" s="173"/>
      <c r="AI16" s="174"/>
      <c r="AJ16" s="107">
        <v>118</v>
      </c>
      <c r="AL16" s="60"/>
      <c r="AM16" s="162"/>
      <c r="AN16" s="163"/>
      <c r="AO16" s="164"/>
      <c r="AP16" s="107"/>
    </row>
    <row r="17" spans="2:42" ht="17.25" hidden="1" customHeight="1">
      <c r="B17" s="60"/>
      <c r="C17" s="162" t="s">
        <v>61</v>
      </c>
      <c r="D17" s="163"/>
      <c r="E17" s="164"/>
      <c r="F17" s="89">
        <v>40</v>
      </c>
      <c r="H17" s="60"/>
      <c r="I17" s="162"/>
      <c r="J17" s="163"/>
      <c r="K17" s="164"/>
      <c r="L17" s="96"/>
      <c r="N17" s="133"/>
      <c r="O17" s="178" t="s">
        <v>74</v>
      </c>
      <c r="P17" s="179"/>
      <c r="Q17" s="180"/>
      <c r="R17" s="137">
        <v>100000</v>
      </c>
      <c r="T17" s="60"/>
      <c r="U17" s="175" t="s">
        <v>80</v>
      </c>
      <c r="V17" s="176"/>
      <c r="W17" s="177"/>
      <c r="X17" s="127">
        <v>80</v>
      </c>
      <c r="Z17" s="60"/>
      <c r="AA17" s="175" t="s">
        <v>88</v>
      </c>
      <c r="AB17" s="176"/>
      <c r="AC17" s="177"/>
      <c r="AD17" s="121">
        <v>69</v>
      </c>
      <c r="AF17" s="171" t="s">
        <v>63</v>
      </c>
      <c r="AG17" s="163"/>
      <c r="AH17" s="163"/>
      <c r="AI17" s="164"/>
      <c r="AJ17" s="107">
        <v>600</v>
      </c>
      <c r="AL17" s="60"/>
      <c r="AM17" s="162"/>
      <c r="AN17" s="163"/>
      <c r="AO17" s="164"/>
      <c r="AP17" s="107"/>
    </row>
    <row r="18" spans="2:42" ht="17.25" hidden="1" customHeight="1" thickBot="1">
      <c r="B18" s="60"/>
      <c r="C18" s="162" t="s">
        <v>62</v>
      </c>
      <c r="D18" s="163"/>
      <c r="E18" s="164"/>
      <c r="F18" s="89">
        <v>40</v>
      </c>
      <c r="H18" s="60"/>
      <c r="I18" s="162"/>
      <c r="J18" s="163"/>
      <c r="K18" s="164"/>
      <c r="L18" s="96"/>
      <c r="N18" s="135"/>
      <c r="O18" s="181" t="s">
        <v>76</v>
      </c>
      <c r="P18" s="182"/>
      <c r="Q18" s="183"/>
      <c r="R18" s="140">
        <v>20000</v>
      </c>
      <c r="T18" s="60"/>
      <c r="U18" s="175" t="s">
        <v>78</v>
      </c>
      <c r="V18" s="176"/>
      <c r="W18" s="177"/>
      <c r="X18" s="127">
        <v>40</v>
      </c>
      <c r="Z18" s="60"/>
      <c r="AA18" s="175" t="s">
        <v>89</v>
      </c>
      <c r="AB18" s="176"/>
      <c r="AC18" s="177"/>
      <c r="AD18" s="121">
        <v>83</v>
      </c>
      <c r="AF18" s="171" t="s">
        <v>100</v>
      </c>
      <c r="AG18" s="163"/>
      <c r="AH18" s="163"/>
      <c r="AI18" s="164"/>
      <c r="AJ18" s="113" t="s">
        <v>110</v>
      </c>
      <c r="AL18" s="171" t="s">
        <v>120</v>
      </c>
      <c r="AM18" s="163"/>
      <c r="AN18" s="163"/>
      <c r="AO18" s="164"/>
      <c r="AP18" s="113" t="s">
        <v>129</v>
      </c>
    </row>
    <row r="19" spans="2:42" ht="17.25" hidden="1" customHeight="1">
      <c r="B19" s="60"/>
      <c r="C19" s="162" t="s">
        <v>64</v>
      </c>
      <c r="D19" s="163"/>
      <c r="E19" s="164"/>
      <c r="F19" s="89">
        <v>600</v>
      </c>
      <c r="H19" s="60"/>
      <c r="I19" s="162"/>
      <c r="J19" s="163"/>
      <c r="K19" s="164"/>
      <c r="L19" s="96"/>
      <c r="N19" s="118"/>
      <c r="O19" s="172" t="s">
        <v>77</v>
      </c>
      <c r="P19" s="173"/>
      <c r="Q19" s="174"/>
      <c r="R19" s="99">
        <v>118</v>
      </c>
      <c r="T19" s="60"/>
      <c r="U19" s="162" t="s">
        <v>63</v>
      </c>
      <c r="V19" s="163"/>
      <c r="W19" s="164"/>
      <c r="X19" s="102">
        <v>600</v>
      </c>
      <c r="Z19" s="60"/>
      <c r="AA19" s="175" t="s">
        <v>90</v>
      </c>
      <c r="AB19" s="176"/>
      <c r="AC19" s="177"/>
      <c r="AD19" s="121">
        <v>97</v>
      </c>
      <c r="AF19" s="171" t="s">
        <v>101</v>
      </c>
      <c r="AG19" s="163"/>
      <c r="AH19" s="163"/>
      <c r="AI19" s="164"/>
      <c r="AJ19" s="113" t="s">
        <v>111</v>
      </c>
      <c r="AL19" s="171" t="s">
        <v>121</v>
      </c>
      <c r="AM19" s="163"/>
      <c r="AN19" s="163"/>
      <c r="AO19" s="164"/>
      <c r="AP19" s="113" t="s">
        <v>130</v>
      </c>
    </row>
    <row r="20" spans="2:42" ht="17.25" hidden="1" customHeight="1">
      <c r="B20" s="60"/>
      <c r="C20" s="162"/>
      <c r="D20" s="163"/>
      <c r="E20" s="164"/>
      <c r="F20" s="89"/>
      <c r="H20" s="60"/>
      <c r="I20" s="162"/>
      <c r="J20" s="163"/>
      <c r="K20" s="164"/>
      <c r="L20" s="96"/>
      <c r="N20" s="60"/>
      <c r="O20" s="162"/>
      <c r="P20" s="163"/>
      <c r="Q20" s="164"/>
      <c r="R20" s="100"/>
      <c r="T20" s="60"/>
      <c r="U20" s="162"/>
      <c r="V20" s="163"/>
      <c r="W20" s="164"/>
      <c r="X20" s="102"/>
      <c r="Z20" s="60"/>
      <c r="AA20" s="175" t="s">
        <v>91</v>
      </c>
      <c r="AB20" s="176"/>
      <c r="AC20" s="177"/>
      <c r="AD20" s="121">
        <v>110</v>
      </c>
      <c r="AF20" s="171" t="s">
        <v>102</v>
      </c>
      <c r="AG20" s="163"/>
      <c r="AH20" s="163"/>
      <c r="AI20" s="164"/>
      <c r="AJ20" s="113" t="s">
        <v>112</v>
      </c>
      <c r="AL20" s="171" t="s">
        <v>122</v>
      </c>
      <c r="AM20" s="163"/>
      <c r="AN20" s="163"/>
      <c r="AO20" s="164"/>
      <c r="AP20" s="113" t="s">
        <v>131</v>
      </c>
    </row>
    <row r="21" spans="2:42" ht="17.25" hidden="1" customHeight="1">
      <c r="B21" s="60"/>
      <c r="C21" s="162"/>
      <c r="D21" s="163"/>
      <c r="E21" s="164"/>
      <c r="F21" s="89"/>
      <c r="H21" s="60"/>
      <c r="I21" s="162"/>
      <c r="J21" s="163"/>
      <c r="K21" s="164"/>
      <c r="L21" s="96"/>
      <c r="N21" s="60"/>
      <c r="O21" s="162"/>
      <c r="P21" s="163"/>
      <c r="Q21" s="164"/>
      <c r="R21" s="100"/>
      <c r="T21" s="60"/>
      <c r="U21" s="162"/>
      <c r="V21" s="163"/>
      <c r="W21" s="164"/>
      <c r="X21" s="102"/>
      <c r="Z21" s="60"/>
      <c r="AA21" s="175" t="s">
        <v>92</v>
      </c>
      <c r="AB21" s="176"/>
      <c r="AC21" s="177"/>
      <c r="AD21" s="121">
        <v>124</v>
      </c>
      <c r="AF21" s="171" t="s">
        <v>103</v>
      </c>
      <c r="AG21" s="163"/>
      <c r="AH21" s="163"/>
      <c r="AI21" s="164"/>
      <c r="AJ21" s="113" t="s">
        <v>113</v>
      </c>
      <c r="AL21" s="171" t="s">
        <v>123</v>
      </c>
      <c r="AM21" s="163"/>
      <c r="AN21" s="163"/>
      <c r="AO21" s="164"/>
      <c r="AP21" s="113" t="s">
        <v>132</v>
      </c>
    </row>
    <row r="22" spans="2:42" ht="17.25" hidden="1" customHeight="1">
      <c r="B22" s="60"/>
      <c r="C22" s="162"/>
      <c r="D22" s="163"/>
      <c r="E22" s="164"/>
      <c r="F22" s="89"/>
      <c r="H22" s="60"/>
      <c r="I22" s="162"/>
      <c r="J22" s="163"/>
      <c r="K22" s="164"/>
      <c r="L22" s="96"/>
      <c r="N22" s="60"/>
      <c r="O22" s="162"/>
      <c r="P22" s="163"/>
      <c r="Q22" s="164"/>
      <c r="R22" s="100"/>
      <c r="T22" s="60"/>
      <c r="U22" s="162"/>
      <c r="V22" s="163"/>
      <c r="W22" s="164"/>
      <c r="X22" s="102"/>
      <c r="Z22" s="60"/>
      <c r="AA22" s="175" t="s">
        <v>93</v>
      </c>
      <c r="AB22" s="176"/>
      <c r="AC22" s="177"/>
      <c r="AD22" s="121">
        <v>138</v>
      </c>
      <c r="AF22" s="171" t="s">
        <v>104</v>
      </c>
      <c r="AG22" s="163"/>
      <c r="AH22" s="163"/>
      <c r="AI22" s="164"/>
      <c r="AJ22" s="113" t="s">
        <v>114</v>
      </c>
      <c r="AL22" s="171" t="s">
        <v>124</v>
      </c>
      <c r="AM22" s="163"/>
      <c r="AN22" s="163"/>
      <c r="AO22" s="164"/>
      <c r="AP22" s="113" t="s">
        <v>133</v>
      </c>
    </row>
    <row r="23" spans="2:42" ht="17.25" hidden="1" customHeight="1">
      <c r="B23" s="60"/>
      <c r="C23" s="162"/>
      <c r="D23" s="163"/>
      <c r="E23" s="164"/>
      <c r="F23" s="89"/>
      <c r="H23" s="60"/>
      <c r="I23" s="162"/>
      <c r="J23" s="163"/>
      <c r="K23" s="164"/>
      <c r="L23" s="96"/>
      <c r="N23" s="60"/>
      <c r="O23" s="162"/>
      <c r="P23" s="163"/>
      <c r="Q23" s="164"/>
      <c r="R23" s="100"/>
      <c r="T23" s="60"/>
      <c r="U23" s="162"/>
      <c r="V23" s="163"/>
      <c r="W23" s="164"/>
      <c r="X23" s="102"/>
      <c r="Z23" s="60"/>
      <c r="AA23" s="175" t="s">
        <v>94</v>
      </c>
      <c r="AB23" s="176"/>
      <c r="AC23" s="177"/>
      <c r="AD23" s="121">
        <v>166</v>
      </c>
      <c r="AF23" s="171" t="s">
        <v>105</v>
      </c>
      <c r="AG23" s="163"/>
      <c r="AH23" s="163"/>
      <c r="AI23" s="164"/>
      <c r="AJ23" s="113" t="s">
        <v>115</v>
      </c>
      <c r="AL23" s="171" t="s">
        <v>125</v>
      </c>
      <c r="AM23" s="163"/>
      <c r="AN23" s="163"/>
      <c r="AO23" s="164"/>
      <c r="AP23" s="113" t="s">
        <v>134</v>
      </c>
    </row>
    <row r="24" spans="2:42" ht="17.25" hidden="1" customHeight="1">
      <c r="B24" s="60"/>
      <c r="C24" s="162"/>
      <c r="D24" s="163"/>
      <c r="E24" s="164"/>
      <c r="F24" s="89"/>
      <c r="H24" s="60"/>
      <c r="I24" s="162"/>
      <c r="J24" s="163"/>
      <c r="K24" s="164"/>
      <c r="L24" s="96"/>
      <c r="N24" s="60"/>
      <c r="O24" s="162"/>
      <c r="P24" s="163"/>
      <c r="Q24" s="164"/>
      <c r="R24" s="100"/>
      <c r="T24" s="60"/>
      <c r="U24" s="162"/>
      <c r="V24" s="163"/>
      <c r="W24" s="164"/>
      <c r="X24" s="102"/>
      <c r="Z24" s="60"/>
      <c r="AA24" s="175" t="s">
        <v>95</v>
      </c>
      <c r="AB24" s="176"/>
      <c r="AC24" s="177"/>
      <c r="AD24" s="121">
        <v>207</v>
      </c>
      <c r="AF24" s="171" t="s">
        <v>106</v>
      </c>
      <c r="AG24" s="163"/>
      <c r="AH24" s="163"/>
      <c r="AI24" s="164"/>
      <c r="AJ24" s="113" t="s">
        <v>116</v>
      </c>
      <c r="AL24" s="171" t="s">
        <v>126</v>
      </c>
      <c r="AM24" s="163"/>
      <c r="AN24" s="163"/>
      <c r="AO24" s="164"/>
      <c r="AP24" s="113" t="s">
        <v>135</v>
      </c>
    </row>
    <row r="25" spans="2:42" ht="17.25" hidden="1" customHeight="1" thickBot="1">
      <c r="B25" s="60"/>
      <c r="C25" s="162"/>
      <c r="D25" s="163"/>
      <c r="E25" s="164"/>
      <c r="F25" s="89"/>
      <c r="H25" s="60"/>
      <c r="I25" s="162"/>
      <c r="J25" s="163"/>
      <c r="K25" s="164"/>
      <c r="L25" s="96"/>
      <c r="N25" s="60"/>
      <c r="O25" s="162"/>
      <c r="P25" s="163"/>
      <c r="Q25" s="164"/>
      <c r="R25" s="100"/>
      <c r="T25" s="60"/>
      <c r="U25" s="162"/>
      <c r="V25" s="163"/>
      <c r="W25" s="164"/>
      <c r="X25" s="102"/>
      <c r="Z25" s="114"/>
      <c r="AA25" s="168" t="s">
        <v>96</v>
      </c>
      <c r="AB25" s="169"/>
      <c r="AC25" s="170"/>
      <c r="AD25" s="122">
        <v>253</v>
      </c>
      <c r="AF25" s="171" t="s">
        <v>107</v>
      </c>
      <c r="AG25" s="163"/>
      <c r="AH25" s="163"/>
      <c r="AI25" s="164"/>
      <c r="AJ25" s="113" t="s">
        <v>117</v>
      </c>
      <c r="AL25" s="171" t="s">
        <v>127</v>
      </c>
      <c r="AM25" s="163"/>
      <c r="AN25" s="163"/>
      <c r="AO25" s="164"/>
      <c r="AP25" s="113" t="s">
        <v>136</v>
      </c>
    </row>
    <row r="26" spans="2:42" ht="17.25" hidden="1" customHeight="1">
      <c r="B26" s="60"/>
      <c r="C26" s="162"/>
      <c r="D26" s="163"/>
      <c r="E26" s="164"/>
      <c r="F26" s="89"/>
      <c r="H26" s="60"/>
      <c r="I26" s="162"/>
      <c r="J26" s="163"/>
      <c r="K26" s="164"/>
      <c r="L26" s="96"/>
      <c r="N26" s="60"/>
      <c r="O26" s="162"/>
      <c r="P26" s="163"/>
      <c r="Q26" s="164"/>
      <c r="R26" s="100"/>
      <c r="T26" s="60"/>
      <c r="U26" s="162"/>
      <c r="V26" s="163"/>
      <c r="W26" s="164"/>
      <c r="X26" s="102"/>
      <c r="Z26" s="118"/>
      <c r="AA26" s="172" t="s">
        <v>63</v>
      </c>
      <c r="AB26" s="173"/>
      <c r="AC26" s="174"/>
      <c r="AD26" s="104">
        <v>600</v>
      </c>
      <c r="AF26" s="171" t="s">
        <v>108</v>
      </c>
      <c r="AG26" s="163"/>
      <c r="AH26" s="163"/>
      <c r="AI26" s="164"/>
      <c r="AJ26" s="113" t="s">
        <v>118</v>
      </c>
      <c r="AL26" s="171" t="s">
        <v>128</v>
      </c>
      <c r="AM26" s="163"/>
      <c r="AN26" s="163"/>
      <c r="AO26" s="164"/>
      <c r="AP26" s="113" t="s">
        <v>137</v>
      </c>
    </row>
    <row r="27" spans="2:42" ht="17.25" hidden="1" customHeight="1">
      <c r="B27" s="60"/>
      <c r="C27" s="162"/>
      <c r="D27" s="163"/>
      <c r="E27" s="164"/>
      <c r="F27" s="89"/>
      <c r="H27" s="60"/>
      <c r="I27" s="162"/>
      <c r="J27" s="163"/>
      <c r="K27" s="164"/>
      <c r="L27" s="96"/>
      <c r="N27" s="60"/>
      <c r="O27" s="162"/>
      <c r="P27" s="163"/>
      <c r="Q27" s="164"/>
      <c r="R27" s="100"/>
      <c r="T27" s="60"/>
      <c r="U27" s="162"/>
      <c r="V27" s="163"/>
      <c r="W27" s="164"/>
      <c r="X27" s="102"/>
      <c r="Z27" s="60"/>
      <c r="AA27" s="162" t="s">
        <v>97</v>
      </c>
      <c r="AB27" s="163"/>
      <c r="AC27" s="164"/>
      <c r="AD27" s="105">
        <v>20000</v>
      </c>
      <c r="AF27" s="165" t="s">
        <v>109</v>
      </c>
      <c r="AG27" s="166"/>
      <c r="AH27" s="166"/>
      <c r="AI27" s="166"/>
      <c r="AJ27" s="167"/>
      <c r="AL27" s="60"/>
      <c r="AM27" s="93"/>
      <c r="AN27" s="98"/>
      <c r="AO27" s="94"/>
      <c r="AP27" s="107"/>
    </row>
    <row r="28" spans="2:42" ht="17.25" hidden="1" customHeight="1">
      <c r="B28" s="60"/>
      <c r="C28" s="162"/>
      <c r="D28" s="163"/>
      <c r="E28" s="164"/>
      <c r="F28" s="89"/>
      <c r="H28" s="60"/>
      <c r="I28" s="162"/>
      <c r="J28" s="163"/>
      <c r="K28" s="164"/>
      <c r="L28" s="96"/>
      <c r="N28" s="60"/>
      <c r="O28" s="162"/>
      <c r="P28" s="163"/>
      <c r="Q28" s="164"/>
      <c r="R28" s="100"/>
      <c r="T28" s="60"/>
      <c r="U28" s="162"/>
      <c r="V28" s="163"/>
      <c r="W28" s="164"/>
      <c r="X28" s="102"/>
      <c r="Z28" s="60"/>
      <c r="AA28" s="162" t="s">
        <v>119</v>
      </c>
      <c r="AB28" s="163"/>
      <c r="AC28" s="164"/>
      <c r="AD28" s="105">
        <v>4</v>
      </c>
      <c r="AF28" s="60"/>
      <c r="AG28" s="93"/>
      <c r="AH28" s="98"/>
      <c r="AI28" s="94"/>
      <c r="AJ28" s="107"/>
      <c r="AL28" s="60"/>
      <c r="AM28" s="93"/>
      <c r="AN28" s="98"/>
      <c r="AO28" s="94"/>
      <c r="AP28" s="107"/>
    </row>
    <row r="29" spans="2:42" ht="17.25" customHeight="1" thickBot="1">
      <c r="B29" s="64"/>
      <c r="C29" s="159"/>
      <c r="D29" s="160"/>
      <c r="E29" s="161"/>
      <c r="F29" s="90"/>
      <c r="H29" s="64"/>
      <c r="I29" s="159"/>
      <c r="J29" s="160"/>
      <c r="K29" s="161"/>
      <c r="L29" s="97"/>
      <c r="N29" s="64"/>
      <c r="O29" s="159"/>
      <c r="P29" s="160"/>
      <c r="Q29" s="161"/>
      <c r="R29" s="101"/>
      <c r="T29" s="64"/>
      <c r="U29" s="159"/>
      <c r="V29" s="160"/>
      <c r="W29" s="161"/>
      <c r="X29" s="103"/>
      <c r="Z29" s="64"/>
      <c r="AA29" s="159" t="s">
        <v>98</v>
      </c>
      <c r="AB29" s="160"/>
      <c r="AC29" s="161"/>
      <c r="AD29" s="106">
        <v>20000</v>
      </c>
      <c r="AF29" s="64"/>
      <c r="AG29" s="159"/>
      <c r="AH29" s="160"/>
      <c r="AI29" s="161"/>
      <c r="AJ29" s="108"/>
      <c r="AL29" s="114"/>
      <c r="AM29" s="159"/>
      <c r="AN29" s="160"/>
      <c r="AO29" s="161"/>
      <c r="AP29" s="115"/>
    </row>
    <row r="30" spans="2:42" ht="6.75" customHeight="1" thickBot="1"/>
    <row r="31" spans="2:42" ht="33" hidden="1" customHeight="1">
      <c r="B31" s="237" t="s">
        <v>0</v>
      </c>
      <c r="C31" s="237"/>
      <c r="D31" s="237"/>
      <c r="E31" s="237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  <c r="AA31" s="237"/>
      <c r="AB31" s="237"/>
      <c r="AC31" s="237"/>
      <c r="AD31" s="237"/>
      <c r="AE31" s="237"/>
      <c r="AF31" s="237"/>
      <c r="AG31" s="237"/>
      <c r="AH31" s="237"/>
      <c r="AI31" s="237"/>
      <c r="AJ31" s="237"/>
      <c r="AK31" s="237"/>
      <c r="AL31" s="237"/>
      <c r="AM31" s="237"/>
      <c r="AN31" s="237"/>
      <c r="AO31" s="237"/>
      <c r="AP31" s="237"/>
    </row>
    <row r="32" spans="2:42" ht="9" hidden="1" customHeight="1" thickBot="1">
      <c r="B32" s="5"/>
      <c r="C32" s="6"/>
      <c r="D32" s="7"/>
      <c r="E32" s="6"/>
      <c r="F32" s="8"/>
      <c r="G32" s="9"/>
      <c r="H32" s="5"/>
      <c r="I32" s="6"/>
      <c r="J32" s="7"/>
      <c r="K32" s="6"/>
      <c r="L32" s="8"/>
      <c r="M32" s="9"/>
      <c r="N32" s="5"/>
      <c r="O32" s="6"/>
      <c r="P32" s="7"/>
      <c r="Q32" s="6"/>
      <c r="R32" s="8"/>
      <c r="S32" s="9"/>
      <c r="T32" s="5"/>
      <c r="U32" s="6"/>
      <c r="V32" s="7"/>
      <c r="W32" s="6"/>
      <c r="X32" s="8"/>
      <c r="Y32" s="9"/>
      <c r="Z32" s="5"/>
      <c r="AA32" s="6"/>
      <c r="AB32" s="7"/>
      <c r="AC32" s="6"/>
      <c r="AD32" s="8"/>
      <c r="AE32" s="9"/>
      <c r="AF32" s="5"/>
      <c r="AG32" s="6"/>
      <c r="AH32" s="7"/>
      <c r="AI32" s="6"/>
      <c r="AJ32" s="8"/>
      <c r="AK32" s="9"/>
      <c r="AL32" s="5"/>
      <c r="AM32" s="6"/>
      <c r="AN32" s="7"/>
      <c r="AO32" s="6"/>
      <c r="AP32" s="8"/>
    </row>
    <row r="33" spans="2:42" s="21" customFormat="1" ht="25.5" customHeight="1" thickBot="1">
      <c r="B33" s="238" t="s">
        <v>1</v>
      </c>
      <c r="C33" s="239"/>
      <c r="D33" s="239"/>
      <c r="E33" s="240"/>
      <c r="F33" s="20" t="s">
        <v>2</v>
      </c>
      <c r="H33" s="241" t="s">
        <v>143</v>
      </c>
      <c r="I33" s="242"/>
      <c r="J33" s="242"/>
      <c r="K33" s="243"/>
      <c r="L33" s="22" t="s">
        <v>4</v>
      </c>
      <c r="N33" s="244" t="s">
        <v>5</v>
      </c>
      <c r="O33" s="245"/>
      <c r="P33" s="245"/>
      <c r="Q33" s="246"/>
      <c r="R33" s="23" t="s">
        <v>6</v>
      </c>
      <c r="T33" s="247" t="s">
        <v>7</v>
      </c>
      <c r="U33" s="248"/>
      <c r="V33" s="248"/>
      <c r="W33" s="249"/>
      <c r="X33" s="24" t="s">
        <v>8</v>
      </c>
      <c r="Z33" s="250" t="s">
        <v>9</v>
      </c>
      <c r="AA33" s="251"/>
      <c r="AB33" s="251"/>
      <c r="AC33" s="252"/>
      <c r="AD33" s="25" t="s">
        <v>10</v>
      </c>
      <c r="AF33" s="253" t="s">
        <v>11</v>
      </c>
      <c r="AG33" s="254"/>
      <c r="AH33" s="254"/>
      <c r="AI33" s="255"/>
      <c r="AJ33" s="110" t="s">
        <v>12</v>
      </c>
      <c r="AL33" s="256" t="s">
        <v>13</v>
      </c>
      <c r="AM33" s="257"/>
      <c r="AN33" s="257"/>
      <c r="AO33" s="258"/>
      <c r="AP33" s="109" t="s">
        <v>14</v>
      </c>
    </row>
    <row r="34" spans="2:42" ht="15" customHeight="1">
      <c r="B34" s="262"/>
      <c r="C34" s="263"/>
      <c r="D34" s="263"/>
      <c r="E34" s="264"/>
      <c r="F34" s="235">
        <v>10</v>
      </c>
      <c r="H34" s="262" t="s">
        <v>142</v>
      </c>
      <c r="I34" s="263"/>
      <c r="J34" s="263"/>
      <c r="K34" s="264"/>
      <c r="L34" s="231">
        <f>F34+1</f>
        <v>11</v>
      </c>
      <c r="N34" s="262"/>
      <c r="O34" s="263"/>
      <c r="P34" s="263"/>
      <c r="Q34" s="264"/>
      <c r="R34" s="233">
        <f>L34+1</f>
        <v>12</v>
      </c>
      <c r="T34" s="262"/>
      <c r="U34" s="263"/>
      <c r="V34" s="263"/>
      <c r="W34" s="264"/>
      <c r="X34" s="259">
        <f>R34+1</f>
        <v>13</v>
      </c>
      <c r="Z34" s="262"/>
      <c r="AA34" s="263"/>
      <c r="AB34" s="263"/>
      <c r="AC34" s="264"/>
      <c r="AD34" s="221">
        <f>X34+1</f>
        <v>14</v>
      </c>
      <c r="AF34" s="262"/>
      <c r="AG34" s="263"/>
      <c r="AH34" s="263"/>
      <c r="AI34" s="264"/>
      <c r="AJ34" s="270">
        <f>AD34+1</f>
        <v>15</v>
      </c>
      <c r="AL34" s="262"/>
      <c r="AM34" s="263"/>
      <c r="AN34" s="263"/>
      <c r="AO34" s="264"/>
      <c r="AP34" s="268">
        <f>AJ34+1</f>
        <v>16</v>
      </c>
    </row>
    <row r="35" spans="2:42" ht="15" customHeight="1" thickBot="1">
      <c r="B35" s="265"/>
      <c r="C35" s="266"/>
      <c r="D35" s="266"/>
      <c r="E35" s="267"/>
      <c r="F35" s="236"/>
      <c r="H35" s="265"/>
      <c r="I35" s="266"/>
      <c r="J35" s="266"/>
      <c r="K35" s="267"/>
      <c r="L35" s="232"/>
      <c r="N35" s="265"/>
      <c r="O35" s="266"/>
      <c r="P35" s="266"/>
      <c r="Q35" s="267"/>
      <c r="R35" s="234"/>
      <c r="T35" s="265"/>
      <c r="U35" s="266"/>
      <c r="V35" s="266"/>
      <c r="W35" s="267"/>
      <c r="X35" s="260"/>
      <c r="Z35" s="265"/>
      <c r="AA35" s="266"/>
      <c r="AB35" s="266"/>
      <c r="AC35" s="267"/>
      <c r="AD35" s="222"/>
      <c r="AF35" s="265"/>
      <c r="AG35" s="266"/>
      <c r="AH35" s="266"/>
      <c r="AI35" s="267"/>
      <c r="AJ35" s="271"/>
      <c r="AL35" s="265"/>
      <c r="AM35" s="266"/>
      <c r="AN35" s="266"/>
      <c r="AO35" s="267"/>
      <c r="AP35" s="269"/>
    </row>
    <row r="36" spans="2:42" ht="17.25" customHeight="1" thickBot="1">
      <c r="B36" s="208" t="s">
        <v>16</v>
      </c>
      <c r="C36" s="209"/>
      <c r="D36" s="209"/>
      <c r="E36" s="210"/>
      <c r="F36" s="28" t="s">
        <v>17</v>
      </c>
      <c r="H36" s="208" t="s">
        <v>16</v>
      </c>
      <c r="I36" s="209"/>
      <c r="J36" s="209"/>
      <c r="K36" s="210"/>
      <c r="L36" s="29" t="s">
        <v>17</v>
      </c>
      <c r="N36" s="208" t="s">
        <v>16</v>
      </c>
      <c r="O36" s="209"/>
      <c r="P36" s="209"/>
      <c r="Q36" s="210"/>
      <c r="R36" s="30" t="s">
        <v>17</v>
      </c>
      <c r="T36" s="208" t="s">
        <v>16</v>
      </c>
      <c r="U36" s="209"/>
      <c r="V36" s="209"/>
      <c r="W36" s="210"/>
      <c r="X36" s="31" t="s">
        <v>17</v>
      </c>
      <c r="Z36" s="208" t="s">
        <v>16</v>
      </c>
      <c r="AA36" s="209"/>
      <c r="AB36" s="209"/>
      <c r="AC36" s="210"/>
      <c r="AD36" s="32" t="s">
        <v>17</v>
      </c>
      <c r="AF36" s="208" t="s">
        <v>16</v>
      </c>
      <c r="AG36" s="209"/>
      <c r="AH36" s="209"/>
      <c r="AI36" s="210"/>
      <c r="AJ36" s="33" t="s">
        <v>17</v>
      </c>
      <c r="AL36" s="208" t="s">
        <v>16</v>
      </c>
      <c r="AM36" s="209"/>
      <c r="AN36" s="209"/>
      <c r="AO36" s="210"/>
      <c r="AP36" s="34" t="s">
        <v>17</v>
      </c>
    </row>
    <row r="37" spans="2:42" ht="18.75" customHeight="1">
      <c r="B37" s="35" t="s">
        <v>18</v>
      </c>
      <c r="C37" s="36">
        <v>1.4583333333333299</v>
      </c>
      <c r="D37" s="37" t="s">
        <v>19</v>
      </c>
      <c r="E37" s="38">
        <v>1.6243055555555554</v>
      </c>
      <c r="F37" s="39" t="s">
        <v>20</v>
      </c>
      <c r="H37" s="35" t="s">
        <v>18</v>
      </c>
      <c r="I37" s="36">
        <v>1.4583333333333299</v>
      </c>
      <c r="J37" s="37" t="s">
        <v>19</v>
      </c>
      <c r="K37" s="38">
        <v>1.6243055555555554</v>
      </c>
      <c r="L37" s="40" t="s">
        <v>21</v>
      </c>
      <c r="N37" s="35" t="s">
        <v>18</v>
      </c>
      <c r="O37" s="36">
        <v>1.4583333333333299</v>
      </c>
      <c r="P37" s="37" t="s">
        <v>19</v>
      </c>
      <c r="Q37" s="38">
        <v>1.6243055555555554</v>
      </c>
      <c r="R37" s="41" t="s">
        <v>22</v>
      </c>
      <c r="T37" s="35" t="s">
        <v>18</v>
      </c>
      <c r="U37" s="36">
        <v>1.4583333333333299</v>
      </c>
      <c r="V37" s="37" t="s">
        <v>19</v>
      </c>
      <c r="W37" s="38">
        <v>1.6243055555555554</v>
      </c>
      <c r="X37" s="42" t="s">
        <v>24</v>
      </c>
      <c r="Z37" s="35" t="s">
        <v>18</v>
      </c>
      <c r="AA37" s="36">
        <v>1.4583333333333299</v>
      </c>
      <c r="AB37" s="37" t="s">
        <v>19</v>
      </c>
      <c r="AC37" s="38">
        <v>1.6243055555555554</v>
      </c>
      <c r="AD37" s="43" t="s">
        <v>25</v>
      </c>
      <c r="AF37" s="35" t="s">
        <v>18</v>
      </c>
      <c r="AG37" s="36">
        <v>1.4583333333333299</v>
      </c>
      <c r="AH37" s="37" t="s">
        <v>19</v>
      </c>
      <c r="AI37" s="38">
        <v>1.6243055555555554</v>
      </c>
      <c r="AJ37" s="44" t="s">
        <v>20</v>
      </c>
      <c r="AL37" s="35" t="s">
        <v>18</v>
      </c>
      <c r="AM37" s="36">
        <v>1.4583333333333299</v>
      </c>
      <c r="AN37" s="37" t="s">
        <v>19</v>
      </c>
      <c r="AO37" s="38">
        <v>1.6243055555555554</v>
      </c>
      <c r="AP37" s="45" t="s">
        <v>21</v>
      </c>
    </row>
    <row r="38" spans="2:42" ht="18.75" customHeight="1">
      <c r="B38" s="46" t="s">
        <v>26</v>
      </c>
      <c r="C38" s="92">
        <v>1.625</v>
      </c>
      <c r="D38" s="48" t="s">
        <v>19</v>
      </c>
      <c r="E38" s="116">
        <v>1.7909722222222224</v>
      </c>
      <c r="F38" s="50" t="s">
        <v>21</v>
      </c>
      <c r="H38" s="46" t="s">
        <v>26</v>
      </c>
      <c r="I38" s="92">
        <v>1.625</v>
      </c>
      <c r="J38" s="48" t="s">
        <v>19</v>
      </c>
      <c r="K38" s="116">
        <v>1.7909722222222224</v>
      </c>
      <c r="L38" s="51" t="s">
        <v>22</v>
      </c>
      <c r="N38" s="46" t="s">
        <v>26</v>
      </c>
      <c r="O38" s="92">
        <v>1.625</v>
      </c>
      <c r="P38" s="48" t="s">
        <v>19</v>
      </c>
      <c r="Q38" s="116">
        <v>1.7909722222222224</v>
      </c>
      <c r="R38" s="52" t="s">
        <v>24</v>
      </c>
      <c r="T38" s="46" t="s">
        <v>26</v>
      </c>
      <c r="U38" s="92">
        <v>1.625</v>
      </c>
      <c r="V38" s="48" t="s">
        <v>19</v>
      </c>
      <c r="W38" s="116">
        <v>1.7909722222222224</v>
      </c>
      <c r="X38" s="53" t="s">
        <v>25</v>
      </c>
      <c r="Z38" s="46" t="s">
        <v>26</v>
      </c>
      <c r="AA38" s="92">
        <v>1.625</v>
      </c>
      <c r="AB38" s="48" t="s">
        <v>19</v>
      </c>
      <c r="AC38" s="116">
        <v>1.7909722222222224</v>
      </c>
      <c r="AD38" s="54" t="s">
        <v>20</v>
      </c>
      <c r="AF38" s="46" t="s">
        <v>26</v>
      </c>
      <c r="AG38" s="92">
        <v>1.625</v>
      </c>
      <c r="AH38" s="48" t="s">
        <v>19</v>
      </c>
      <c r="AI38" s="116">
        <v>1.7909722222222224</v>
      </c>
      <c r="AJ38" s="55" t="s">
        <v>21</v>
      </c>
      <c r="AL38" s="46" t="s">
        <v>26</v>
      </c>
      <c r="AM38" s="92">
        <v>1.625</v>
      </c>
      <c r="AN38" s="48" t="s">
        <v>19</v>
      </c>
      <c r="AO38" s="116">
        <v>1.7909722222222224</v>
      </c>
      <c r="AP38" s="56" t="s">
        <v>22</v>
      </c>
    </row>
    <row r="39" spans="2:42" ht="18.75" customHeight="1">
      <c r="B39" s="46" t="s">
        <v>28</v>
      </c>
      <c r="C39" s="93">
        <v>1.7916666666666701</v>
      </c>
      <c r="D39" s="58" t="s">
        <v>19</v>
      </c>
      <c r="E39" s="94">
        <v>1.9576388888888889</v>
      </c>
      <c r="F39" s="50" t="s">
        <v>22</v>
      </c>
      <c r="H39" s="46" t="s">
        <v>28</v>
      </c>
      <c r="I39" s="93">
        <v>1.7916666666666701</v>
      </c>
      <c r="J39" s="58" t="s">
        <v>19</v>
      </c>
      <c r="K39" s="94">
        <v>1.9576388888888889</v>
      </c>
      <c r="L39" s="51" t="s">
        <v>24</v>
      </c>
      <c r="N39" s="46" t="s">
        <v>28</v>
      </c>
      <c r="O39" s="93">
        <v>1.7916666666666701</v>
      </c>
      <c r="P39" s="58" t="s">
        <v>19</v>
      </c>
      <c r="Q39" s="94">
        <v>1.9576388888888889</v>
      </c>
      <c r="R39" s="52" t="s">
        <v>25</v>
      </c>
      <c r="T39" s="46" t="s">
        <v>28</v>
      </c>
      <c r="U39" s="93">
        <v>1.7916666666666701</v>
      </c>
      <c r="V39" s="58" t="s">
        <v>19</v>
      </c>
      <c r="W39" s="94">
        <v>1.9576388888888889</v>
      </c>
      <c r="X39" s="53" t="s">
        <v>20</v>
      </c>
      <c r="Z39" s="46" t="s">
        <v>28</v>
      </c>
      <c r="AA39" s="93">
        <v>1.7916666666666701</v>
      </c>
      <c r="AB39" s="58" t="s">
        <v>19</v>
      </c>
      <c r="AC39" s="94">
        <v>1.9576388888888889</v>
      </c>
      <c r="AD39" s="54" t="s">
        <v>21</v>
      </c>
      <c r="AF39" s="46" t="s">
        <v>28</v>
      </c>
      <c r="AG39" s="93">
        <v>1.7916666666666701</v>
      </c>
      <c r="AH39" s="58" t="s">
        <v>19</v>
      </c>
      <c r="AI39" s="94">
        <v>1.9576388888888889</v>
      </c>
      <c r="AJ39" s="55" t="s">
        <v>22</v>
      </c>
      <c r="AL39" s="46" t="s">
        <v>28</v>
      </c>
      <c r="AM39" s="93">
        <v>1.7916666666666701</v>
      </c>
      <c r="AN39" s="58" t="s">
        <v>19</v>
      </c>
      <c r="AO39" s="94">
        <v>1.9576388888888889</v>
      </c>
      <c r="AP39" s="56" t="s">
        <v>24</v>
      </c>
    </row>
    <row r="40" spans="2:42" ht="18.75" customHeight="1">
      <c r="B40" s="60" t="s">
        <v>30</v>
      </c>
      <c r="C40" s="130">
        <v>1.9583333333333335</v>
      </c>
      <c r="D40" s="62" t="s">
        <v>19</v>
      </c>
      <c r="E40" s="131">
        <v>1.1243055555555554</v>
      </c>
      <c r="F40" s="50" t="s">
        <v>24</v>
      </c>
      <c r="H40" s="152" t="s">
        <v>30</v>
      </c>
      <c r="I40" s="153">
        <v>1.9583333333333335</v>
      </c>
      <c r="J40" s="154" t="s">
        <v>19</v>
      </c>
      <c r="K40" s="155">
        <v>1.1243055555555554</v>
      </c>
      <c r="L40" s="55" t="s">
        <v>25</v>
      </c>
      <c r="N40" s="60" t="s">
        <v>30</v>
      </c>
      <c r="O40" s="130">
        <v>1.9583333333333335</v>
      </c>
      <c r="P40" s="62" t="s">
        <v>19</v>
      </c>
      <c r="Q40" s="131">
        <v>1.1243055555555554</v>
      </c>
      <c r="R40" s="52" t="s">
        <v>20</v>
      </c>
      <c r="T40" s="60" t="s">
        <v>30</v>
      </c>
      <c r="U40" s="130">
        <v>1.9583333333333335</v>
      </c>
      <c r="V40" s="62" t="s">
        <v>19</v>
      </c>
      <c r="W40" s="131">
        <v>1.1243055555555554</v>
      </c>
      <c r="X40" s="53" t="s">
        <v>21</v>
      </c>
      <c r="Z40" s="60" t="s">
        <v>30</v>
      </c>
      <c r="AA40" s="130">
        <v>1.9583333333333335</v>
      </c>
      <c r="AB40" s="62" t="s">
        <v>19</v>
      </c>
      <c r="AC40" s="131">
        <v>1.1243055555555554</v>
      </c>
      <c r="AD40" s="54" t="s">
        <v>22</v>
      </c>
      <c r="AF40" s="60" t="s">
        <v>30</v>
      </c>
      <c r="AG40" s="130">
        <v>1.9583333333333335</v>
      </c>
      <c r="AH40" s="62" t="s">
        <v>19</v>
      </c>
      <c r="AI40" s="131">
        <v>1.1243055555555554</v>
      </c>
      <c r="AJ40" s="55" t="s">
        <v>24</v>
      </c>
      <c r="AL40" s="60" t="s">
        <v>30</v>
      </c>
      <c r="AM40" s="130">
        <v>1.9583333333333335</v>
      </c>
      <c r="AN40" s="62" t="s">
        <v>19</v>
      </c>
      <c r="AO40" s="131">
        <v>1.1243055555555554</v>
      </c>
      <c r="AP40" s="56" t="s">
        <v>25</v>
      </c>
    </row>
    <row r="41" spans="2:42" ht="18.75" customHeight="1">
      <c r="B41" s="60" t="s">
        <v>31</v>
      </c>
      <c r="C41" s="130">
        <v>1.125</v>
      </c>
      <c r="D41" s="62" t="s">
        <v>19</v>
      </c>
      <c r="E41" s="131">
        <v>1.2909722222222222</v>
      </c>
      <c r="F41" s="50" t="s">
        <v>25</v>
      </c>
      <c r="H41" s="60" t="s">
        <v>31</v>
      </c>
      <c r="I41" s="130">
        <v>1.125</v>
      </c>
      <c r="J41" s="62" t="s">
        <v>19</v>
      </c>
      <c r="K41" s="131">
        <v>1.2909722222222222</v>
      </c>
      <c r="L41" s="51" t="s">
        <v>20</v>
      </c>
      <c r="N41" s="60" t="s">
        <v>31</v>
      </c>
      <c r="O41" s="130">
        <v>1.125</v>
      </c>
      <c r="P41" s="62" t="s">
        <v>19</v>
      </c>
      <c r="Q41" s="131">
        <v>1.2909722222222222</v>
      </c>
      <c r="R41" s="52" t="s">
        <v>21</v>
      </c>
      <c r="T41" s="60" t="s">
        <v>31</v>
      </c>
      <c r="U41" s="130">
        <v>1.125</v>
      </c>
      <c r="V41" s="62" t="s">
        <v>19</v>
      </c>
      <c r="W41" s="131">
        <v>1.2909722222222222</v>
      </c>
      <c r="X41" s="53" t="s">
        <v>22</v>
      </c>
      <c r="Z41" s="60" t="s">
        <v>31</v>
      </c>
      <c r="AA41" s="130">
        <v>1.125</v>
      </c>
      <c r="AB41" s="62" t="s">
        <v>19</v>
      </c>
      <c r="AC41" s="131">
        <v>1.2909722222222222</v>
      </c>
      <c r="AD41" s="54" t="s">
        <v>24</v>
      </c>
      <c r="AF41" s="60" t="s">
        <v>31</v>
      </c>
      <c r="AG41" s="130">
        <v>1.125</v>
      </c>
      <c r="AH41" s="62" t="s">
        <v>19</v>
      </c>
      <c r="AI41" s="131">
        <v>1.2909722222222222</v>
      </c>
      <c r="AJ41" s="55" t="s">
        <v>25</v>
      </c>
      <c r="AL41" s="60" t="s">
        <v>31</v>
      </c>
      <c r="AM41" s="130">
        <v>1.125</v>
      </c>
      <c r="AN41" s="62" t="s">
        <v>19</v>
      </c>
      <c r="AO41" s="131">
        <v>1.2909722222222222</v>
      </c>
      <c r="AP41" s="56" t="s">
        <v>20</v>
      </c>
    </row>
    <row r="42" spans="2:42" s="80" customFormat="1" ht="18.75" customHeight="1" thickBot="1">
      <c r="B42" s="75" t="s">
        <v>33</v>
      </c>
      <c r="C42" s="76">
        <v>1.2916666666666667</v>
      </c>
      <c r="D42" s="77" t="s">
        <v>19</v>
      </c>
      <c r="E42" s="78">
        <v>1.4576388888888889</v>
      </c>
      <c r="F42" s="79" t="str">
        <f>F37</f>
        <v>이미고훈련</v>
      </c>
      <c r="H42" s="75" t="s">
        <v>33</v>
      </c>
      <c r="I42" s="76">
        <v>1.2916666666666667</v>
      </c>
      <c r="J42" s="77" t="s">
        <v>19</v>
      </c>
      <c r="K42" s="78">
        <v>1.4576388888888889</v>
      </c>
      <c r="L42" s="81" t="str">
        <f>L37</f>
        <v>기술연구</v>
      </c>
      <c r="N42" s="75" t="s">
        <v>33</v>
      </c>
      <c r="O42" s="76">
        <v>1.2916666666666667</v>
      </c>
      <c r="P42" s="77" t="s">
        <v>19</v>
      </c>
      <c r="Q42" s="78">
        <v>1.4576388888888889</v>
      </c>
      <c r="R42" s="82" t="str">
        <f>R37</f>
        <v>AP소모</v>
      </c>
      <c r="T42" s="75" t="s">
        <v>33</v>
      </c>
      <c r="U42" s="76">
        <v>1.2916666666666667</v>
      </c>
      <c r="V42" s="77" t="s">
        <v>19</v>
      </c>
      <c r="W42" s="78">
        <v>1.4576388888888889</v>
      </c>
      <c r="X42" s="83" t="str">
        <f>X37</f>
        <v>펠몬강화</v>
      </c>
      <c r="Z42" s="75" t="s">
        <v>33</v>
      </c>
      <c r="AA42" s="76">
        <v>1.2916666666666667</v>
      </c>
      <c r="AB42" s="77" t="s">
        <v>19</v>
      </c>
      <c r="AC42" s="78">
        <v>1.4576388888888889</v>
      </c>
      <c r="AD42" s="84" t="str">
        <f>AD37</f>
        <v>건물레벨업</v>
      </c>
      <c r="AF42" s="75" t="s">
        <v>33</v>
      </c>
      <c r="AG42" s="76">
        <v>1.2916666666666667</v>
      </c>
      <c r="AH42" s="77" t="s">
        <v>19</v>
      </c>
      <c r="AI42" s="78">
        <v>1.4576388888888889</v>
      </c>
      <c r="AJ42" s="85" t="str">
        <f>AJ37</f>
        <v>이미고훈련</v>
      </c>
      <c r="AL42" s="75" t="s">
        <v>33</v>
      </c>
      <c r="AM42" s="76">
        <v>1.2916666666666667</v>
      </c>
      <c r="AN42" s="77" t="s">
        <v>19</v>
      </c>
      <c r="AO42" s="78">
        <v>1.4576388888888889</v>
      </c>
      <c r="AP42" s="86" t="str">
        <f>AP37</f>
        <v>기술연구</v>
      </c>
    </row>
    <row r="43" spans="2:42" ht="6" customHeight="1"/>
    <row r="44" spans="2:42" s="21" customFormat="1" ht="17.25" hidden="1" customHeight="1" thickBot="1">
      <c r="B44" s="238" t="s">
        <v>1</v>
      </c>
      <c r="C44" s="239"/>
      <c r="D44" s="239"/>
      <c r="E44" s="240"/>
      <c r="F44" s="20" t="s">
        <v>2</v>
      </c>
      <c r="H44" s="241" t="s">
        <v>3</v>
      </c>
      <c r="I44" s="242"/>
      <c r="J44" s="242"/>
      <c r="K44" s="243"/>
      <c r="L44" s="22" t="s">
        <v>4</v>
      </c>
      <c r="N44" s="244" t="s">
        <v>5</v>
      </c>
      <c r="O44" s="245"/>
      <c r="P44" s="245"/>
      <c r="Q44" s="246"/>
      <c r="R44" s="23" t="s">
        <v>6</v>
      </c>
      <c r="T44" s="247" t="s">
        <v>7</v>
      </c>
      <c r="U44" s="248"/>
      <c r="V44" s="248"/>
      <c r="W44" s="249"/>
      <c r="X44" s="24" t="s">
        <v>8</v>
      </c>
      <c r="Z44" s="250" t="s">
        <v>9</v>
      </c>
      <c r="AA44" s="251"/>
      <c r="AB44" s="251"/>
      <c r="AC44" s="252"/>
      <c r="AD44" s="25" t="s">
        <v>10</v>
      </c>
      <c r="AF44" s="253" t="s">
        <v>11</v>
      </c>
      <c r="AG44" s="254"/>
      <c r="AH44" s="254"/>
      <c r="AI44" s="255"/>
      <c r="AJ44" s="26" t="s">
        <v>12</v>
      </c>
      <c r="AL44" s="256" t="s">
        <v>13</v>
      </c>
      <c r="AM44" s="257"/>
      <c r="AN44" s="257"/>
      <c r="AO44" s="258"/>
      <c r="AP44" s="27" t="s">
        <v>14</v>
      </c>
    </row>
    <row r="45" spans="2:42" ht="17.25" hidden="1" customHeight="1">
      <c r="B45" s="211">
        <v>3</v>
      </c>
      <c r="C45" s="213" t="s">
        <v>15</v>
      </c>
      <c r="D45" s="214"/>
      <c r="E45" s="217" t="s">
        <v>0</v>
      </c>
      <c r="F45" s="235">
        <v>17</v>
      </c>
      <c r="H45" s="211">
        <f>B45+1</f>
        <v>4</v>
      </c>
      <c r="I45" s="213" t="s">
        <v>15</v>
      </c>
      <c r="J45" s="214"/>
      <c r="K45" s="217" t="s">
        <v>0</v>
      </c>
      <c r="L45" s="231">
        <f>F45+1</f>
        <v>18</v>
      </c>
      <c r="N45" s="211">
        <f>H45+1</f>
        <v>5</v>
      </c>
      <c r="O45" s="213" t="s">
        <v>15</v>
      </c>
      <c r="P45" s="214"/>
      <c r="Q45" s="217" t="s">
        <v>0</v>
      </c>
      <c r="R45" s="233">
        <f>L45+1</f>
        <v>19</v>
      </c>
      <c r="T45" s="211">
        <f>N45+1</f>
        <v>6</v>
      </c>
      <c r="U45" s="213" t="s">
        <v>15</v>
      </c>
      <c r="V45" s="214"/>
      <c r="W45" s="217" t="s">
        <v>0</v>
      </c>
      <c r="X45" s="259">
        <f>R45+1</f>
        <v>20</v>
      </c>
      <c r="Z45" s="211">
        <f>T45+1</f>
        <v>7</v>
      </c>
      <c r="AA45" s="213" t="s">
        <v>15</v>
      </c>
      <c r="AB45" s="214"/>
      <c r="AC45" s="217" t="s">
        <v>0</v>
      </c>
      <c r="AD45" s="221">
        <f>X45+1</f>
        <v>21</v>
      </c>
      <c r="AF45" s="223">
        <v>1</v>
      </c>
      <c r="AG45" s="213" t="s">
        <v>15</v>
      </c>
      <c r="AH45" s="214"/>
      <c r="AI45" s="217" t="s">
        <v>0</v>
      </c>
      <c r="AJ45" s="225">
        <f>AD45+1</f>
        <v>22</v>
      </c>
      <c r="AL45" s="211">
        <f>AF45+1</f>
        <v>2</v>
      </c>
      <c r="AM45" s="213" t="s">
        <v>15</v>
      </c>
      <c r="AN45" s="214"/>
      <c r="AO45" s="217" t="s">
        <v>0</v>
      </c>
      <c r="AP45" s="219">
        <f>AJ45+1</f>
        <v>23</v>
      </c>
    </row>
    <row r="46" spans="2:42" ht="17.25" hidden="1" customHeight="1" thickBot="1">
      <c r="B46" s="212"/>
      <c r="C46" s="215"/>
      <c r="D46" s="216"/>
      <c r="E46" s="218"/>
      <c r="F46" s="236"/>
      <c r="H46" s="212"/>
      <c r="I46" s="215"/>
      <c r="J46" s="216"/>
      <c r="K46" s="218"/>
      <c r="L46" s="232"/>
      <c r="N46" s="212"/>
      <c r="O46" s="215"/>
      <c r="P46" s="216"/>
      <c r="Q46" s="218"/>
      <c r="R46" s="234"/>
      <c r="T46" s="212"/>
      <c r="U46" s="215"/>
      <c r="V46" s="216"/>
      <c r="W46" s="218"/>
      <c r="X46" s="260"/>
      <c r="Z46" s="212"/>
      <c r="AA46" s="215"/>
      <c r="AB46" s="216"/>
      <c r="AC46" s="218"/>
      <c r="AD46" s="222"/>
      <c r="AF46" s="224"/>
      <c r="AG46" s="215"/>
      <c r="AH46" s="216"/>
      <c r="AI46" s="218"/>
      <c r="AJ46" s="226"/>
      <c r="AL46" s="212"/>
      <c r="AM46" s="215"/>
      <c r="AN46" s="216"/>
      <c r="AO46" s="218"/>
      <c r="AP46" s="220"/>
    </row>
    <row r="47" spans="2:42" ht="17.25" hidden="1" customHeight="1" thickBot="1">
      <c r="B47" s="208" t="s">
        <v>16</v>
      </c>
      <c r="C47" s="209"/>
      <c r="D47" s="209"/>
      <c r="E47" s="210"/>
      <c r="F47" s="28" t="s">
        <v>17</v>
      </c>
      <c r="H47" s="208" t="s">
        <v>16</v>
      </c>
      <c r="I47" s="209"/>
      <c r="J47" s="209"/>
      <c r="K47" s="210"/>
      <c r="L47" s="29" t="s">
        <v>17</v>
      </c>
      <c r="N47" s="208" t="s">
        <v>16</v>
      </c>
      <c r="O47" s="209"/>
      <c r="P47" s="209"/>
      <c r="Q47" s="210"/>
      <c r="R47" s="30" t="s">
        <v>17</v>
      </c>
      <c r="T47" s="208" t="s">
        <v>16</v>
      </c>
      <c r="U47" s="209"/>
      <c r="V47" s="209"/>
      <c r="W47" s="210"/>
      <c r="X47" s="31" t="s">
        <v>17</v>
      </c>
      <c r="Z47" s="208" t="s">
        <v>16</v>
      </c>
      <c r="AA47" s="209"/>
      <c r="AB47" s="209"/>
      <c r="AC47" s="210"/>
      <c r="AD47" s="32" t="s">
        <v>17</v>
      </c>
      <c r="AF47" s="208" t="s">
        <v>16</v>
      </c>
      <c r="AG47" s="209"/>
      <c r="AH47" s="209"/>
      <c r="AI47" s="210"/>
      <c r="AJ47" s="33" t="s">
        <v>17</v>
      </c>
      <c r="AL47" s="208" t="s">
        <v>16</v>
      </c>
      <c r="AM47" s="209"/>
      <c r="AN47" s="209"/>
      <c r="AO47" s="210"/>
      <c r="AP47" s="34" t="s">
        <v>17</v>
      </c>
    </row>
    <row r="48" spans="2:42" ht="17.25" hidden="1" customHeight="1">
      <c r="B48" s="35" t="s">
        <v>18</v>
      </c>
      <c r="C48" s="36">
        <v>1.4583333333333299</v>
      </c>
      <c r="D48" s="37" t="s">
        <v>19</v>
      </c>
      <c r="E48" s="38">
        <v>1.6243055555555554</v>
      </c>
      <c r="F48" s="39" t="s">
        <v>22</v>
      </c>
      <c r="H48" s="35" t="s">
        <v>18</v>
      </c>
      <c r="I48" s="36">
        <v>1.4583333333333299</v>
      </c>
      <c r="J48" s="37" t="s">
        <v>19</v>
      </c>
      <c r="K48" s="38">
        <v>1.6243055555555554</v>
      </c>
      <c r="L48" s="40" t="s">
        <v>24</v>
      </c>
      <c r="N48" s="35" t="s">
        <v>18</v>
      </c>
      <c r="O48" s="36">
        <v>1.4583333333333299</v>
      </c>
      <c r="P48" s="37" t="s">
        <v>19</v>
      </c>
      <c r="Q48" s="38">
        <v>1.6243055555555554</v>
      </c>
      <c r="R48" s="41" t="s">
        <v>25</v>
      </c>
      <c r="T48" s="35" t="s">
        <v>18</v>
      </c>
      <c r="U48" s="36">
        <v>1.4583333333333299</v>
      </c>
      <c r="V48" s="37" t="s">
        <v>19</v>
      </c>
      <c r="W48" s="38">
        <v>1.6243055555555554</v>
      </c>
      <c r="X48" s="42" t="s">
        <v>20</v>
      </c>
      <c r="Z48" s="35" t="s">
        <v>18</v>
      </c>
      <c r="AA48" s="36">
        <v>1.4583333333333299</v>
      </c>
      <c r="AB48" s="37" t="s">
        <v>19</v>
      </c>
      <c r="AC48" s="38">
        <v>1.6243055555555554</v>
      </c>
      <c r="AD48" s="43" t="s">
        <v>21</v>
      </c>
      <c r="AF48" s="35" t="s">
        <v>18</v>
      </c>
      <c r="AG48" s="36">
        <v>1.4583333333333299</v>
      </c>
      <c r="AH48" s="37" t="s">
        <v>19</v>
      </c>
      <c r="AI48" s="38">
        <v>1.6243055555555554</v>
      </c>
      <c r="AJ48" s="44" t="s">
        <v>22</v>
      </c>
      <c r="AL48" s="35" t="s">
        <v>18</v>
      </c>
      <c r="AM48" s="36">
        <v>1.4583333333333299</v>
      </c>
      <c r="AN48" s="37" t="s">
        <v>19</v>
      </c>
      <c r="AO48" s="38">
        <v>1.6243055555555554</v>
      </c>
      <c r="AP48" s="45" t="s">
        <v>24</v>
      </c>
    </row>
    <row r="49" spans="2:42" ht="17.25" hidden="1" customHeight="1">
      <c r="B49" s="46" t="s">
        <v>26</v>
      </c>
      <c r="C49" s="92">
        <v>1.625</v>
      </c>
      <c r="D49" s="48" t="s">
        <v>19</v>
      </c>
      <c r="E49" s="116">
        <v>1.7909722222222224</v>
      </c>
      <c r="F49" s="50" t="s">
        <v>24</v>
      </c>
      <c r="H49" s="46" t="s">
        <v>26</v>
      </c>
      <c r="I49" s="92">
        <v>1.625</v>
      </c>
      <c r="J49" s="48" t="s">
        <v>19</v>
      </c>
      <c r="K49" s="116">
        <v>1.7909722222222224</v>
      </c>
      <c r="L49" s="51" t="s">
        <v>25</v>
      </c>
      <c r="N49" s="46" t="s">
        <v>26</v>
      </c>
      <c r="O49" s="92">
        <v>1.625</v>
      </c>
      <c r="P49" s="48" t="s">
        <v>19</v>
      </c>
      <c r="Q49" s="116">
        <v>1.7909722222222224</v>
      </c>
      <c r="R49" s="52" t="s">
        <v>20</v>
      </c>
      <c r="T49" s="46" t="s">
        <v>26</v>
      </c>
      <c r="U49" s="92">
        <v>1.625</v>
      </c>
      <c r="V49" s="48" t="s">
        <v>19</v>
      </c>
      <c r="W49" s="116">
        <v>1.7909722222222224</v>
      </c>
      <c r="X49" s="53" t="s">
        <v>21</v>
      </c>
      <c r="Z49" s="46" t="s">
        <v>26</v>
      </c>
      <c r="AA49" s="92">
        <v>1.625</v>
      </c>
      <c r="AB49" s="48" t="s">
        <v>19</v>
      </c>
      <c r="AC49" s="116">
        <v>1.7909722222222224</v>
      </c>
      <c r="AD49" s="54" t="s">
        <v>22</v>
      </c>
      <c r="AF49" s="46" t="s">
        <v>26</v>
      </c>
      <c r="AG49" s="92">
        <v>1.625</v>
      </c>
      <c r="AH49" s="48" t="s">
        <v>19</v>
      </c>
      <c r="AI49" s="116">
        <v>1.7909722222222224</v>
      </c>
      <c r="AJ49" s="55" t="s">
        <v>24</v>
      </c>
      <c r="AL49" s="46" t="s">
        <v>26</v>
      </c>
      <c r="AM49" s="92">
        <v>1.625</v>
      </c>
      <c r="AN49" s="48" t="s">
        <v>19</v>
      </c>
      <c r="AO49" s="116">
        <v>1.7909722222222224</v>
      </c>
      <c r="AP49" s="56" t="s">
        <v>25</v>
      </c>
    </row>
    <row r="50" spans="2:42" ht="17.25" hidden="1" customHeight="1">
      <c r="B50" s="46" t="s">
        <v>28</v>
      </c>
      <c r="C50" s="93">
        <v>1.7916666666666701</v>
      </c>
      <c r="D50" s="58" t="s">
        <v>19</v>
      </c>
      <c r="E50" s="94">
        <v>1.9576388888888889</v>
      </c>
      <c r="F50" s="50" t="s">
        <v>25</v>
      </c>
      <c r="H50" s="46" t="s">
        <v>28</v>
      </c>
      <c r="I50" s="93">
        <v>1.7916666666666701</v>
      </c>
      <c r="J50" s="58" t="s">
        <v>19</v>
      </c>
      <c r="K50" s="94">
        <v>1.9576388888888889</v>
      </c>
      <c r="L50" s="51" t="s">
        <v>20</v>
      </c>
      <c r="N50" s="46" t="s">
        <v>28</v>
      </c>
      <c r="O50" s="93">
        <v>1.7916666666666701</v>
      </c>
      <c r="P50" s="58" t="s">
        <v>19</v>
      </c>
      <c r="Q50" s="94">
        <v>1.9576388888888889</v>
      </c>
      <c r="R50" s="52" t="s">
        <v>21</v>
      </c>
      <c r="T50" s="46" t="s">
        <v>28</v>
      </c>
      <c r="U50" s="93">
        <v>1.7916666666666701</v>
      </c>
      <c r="V50" s="58" t="s">
        <v>19</v>
      </c>
      <c r="W50" s="94">
        <v>1.9576388888888889</v>
      </c>
      <c r="X50" s="53" t="s">
        <v>22</v>
      </c>
      <c r="Z50" s="46" t="s">
        <v>28</v>
      </c>
      <c r="AA50" s="93">
        <v>1.7916666666666701</v>
      </c>
      <c r="AB50" s="58" t="s">
        <v>19</v>
      </c>
      <c r="AC50" s="94">
        <v>1.9576388888888889</v>
      </c>
      <c r="AD50" s="54" t="s">
        <v>24</v>
      </c>
      <c r="AF50" s="46" t="s">
        <v>28</v>
      </c>
      <c r="AG50" s="93">
        <v>1.7916666666666701</v>
      </c>
      <c r="AH50" s="58" t="s">
        <v>19</v>
      </c>
      <c r="AI50" s="94">
        <v>1.9576388888888889</v>
      </c>
      <c r="AJ50" s="55" t="s">
        <v>25</v>
      </c>
      <c r="AL50" s="46" t="s">
        <v>28</v>
      </c>
      <c r="AM50" s="93">
        <v>1.7916666666666701</v>
      </c>
      <c r="AN50" s="58" t="s">
        <v>19</v>
      </c>
      <c r="AO50" s="94">
        <v>1.9576388888888889</v>
      </c>
      <c r="AP50" s="56" t="s">
        <v>20</v>
      </c>
    </row>
    <row r="51" spans="2:42" ht="17.25" hidden="1" customHeight="1">
      <c r="B51" s="60" t="s">
        <v>30</v>
      </c>
      <c r="C51" s="130">
        <v>1.9583333333333335</v>
      </c>
      <c r="D51" s="62" t="s">
        <v>19</v>
      </c>
      <c r="E51" s="131">
        <v>1.1243055555555554</v>
      </c>
      <c r="F51" s="50" t="s">
        <v>20</v>
      </c>
      <c r="H51" s="60" t="s">
        <v>30</v>
      </c>
      <c r="I51" s="130">
        <v>1.9583333333333335</v>
      </c>
      <c r="J51" s="62" t="s">
        <v>19</v>
      </c>
      <c r="K51" s="131">
        <v>1.1243055555555554</v>
      </c>
      <c r="L51" s="51" t="s">
        <v>21</v>
      </c>
      <c r="N51" s="60" t="s">
        <v>30</v>
      </c>
      <c r="O51" s="130">
        <v>1.9583333333333335</v>
      </c>
      <c r="P51" s="62" t="s">
        <v>19</v>
      </c>
      <c r="Q51" s="131">
        <v>1.1243055555555554</v>
      </c>
      <c r="R51" s="52" t="s">
        <v>22</v>
      </c>
      <c r="T51" s="60" t="s">
        <v>30</v>
      </c>
      <c r="U51" s="130">
        <v>1.9583333333333335</v>
      </c>
      <c r="V51" s="62" t="s">
        <v>19</v>
      </c>
      <c r="W51" s="131">
        <v>1.1243055555555554</v>
      </c>
      <c r="X51" s="53" t="s">
        <v>24</v>
      </c>
      <c r="Z51" s="60" t="s">
        <v>30</v>
      </c>
      <c r="AA51" s="130">
        <v>1.9583333333333335</v>
      </c>
      <c r="AB51" s="62" t="s">
        <v>19</v>
      </c>
      <c r="AC51" s="131">
        <v>1.1243055555555554</v>
      </c>
      <c r="AD51" s="54" t="s">
        <v>25</v>
      </c>
      <c r="AF51" s="60" t="s">
        <v>30</v>
      </c>
      <c r="AG51" s="130">
        <v>1.9583333333333335</v>
      </c>
      <c r="AH51" s="62" t="s">
        <v>19</v>
      </c>
      <c r="AI51" s="131">
        <v>1.1243055555555554</v>
      </c>
      <c r="AJ51" s="55" t="s">
        <v>20</v>
      </c>
      <c r="AL51" s="60" t="s">
        <v>30</v>
      </c>
      <c r="AM51" s="130">
        <v>1.9583333333333335</v>
      </c>
      <c r="AN51" s="62" t="s">
        <v>19</v>
      </c>
      <c r="AO51" s="131">
        <v>1.1243055555555554</v>
      </c>
      <c r="AP51" s="56" t="s">
        <v>21</v>
      </c>
    </row>
    <row r="52" spans="2:42" ht="17.25" hidden="1" customHeight="1">
      <c r="B52" s="60" t="s">
        <v>31</v>
      </c>
      <c r="C52" s="130">
        <v>1.125</v>
      </c>
      <c r="D52" s="62" t="s">
        <v>19</v>
      </c>
      <c r="E52" s="131">
        <v>1.2909722222222222</v>
      </c>
      <c r="F52" s="50" t="s">
        <v>21</v>
      </c>
      <c r="H52" s="60" t="s">
        <v>31</v>
      </c>
      <c r="I52" s="130">
        <v>1.125</v>
      </c>
      <c r="J52" s="62" t="s">
        <v>19</v>
      </c>
      <c r="K52" s="131">
        <v>1.2909722222222222</v>
      </c>
      <c r="L52" s="51" t="s">
        <v>22</v>
      </c>
      <c r="N52" s="60" t="s">
        <v>31</v>
      </c>
      <c r="O52" s="130">
        <v>1.125</v>
      </c>
      <c r="P52" s="62" t="s">
        <v>19</v>
      </c>
      <c r="Q52" s="131">
        <v>1.2909722222222222</v>
      </c>
      <c r="R52" s="52" t="s">
        <v>24</v>
      </c>
      <c r="T52" s="60" t="s">
        <v>31</v>
      </c>
      <c r="U52" s="130">
        <v>1.125</v>
      </c>
      <c r="V52" s="62" t="s">
        <v>19</v>
      </c>
      <c r="W52" s="131">
        <v>1.2909722222222222</v>
      </c>
      <c r="X52" s="53" t="s">
        <v>25</v>
      </c>
      <c r="Z52" s="60" t="s">
        <v>31</v>
      </c>
      <c r="AA52" s="130">
        <v>1.125</v>
      </c>
      <c r="AB52" s="62" t="s">
        <v>19</v>
      </c>
      <c r="AC52" s="131">
        <v>1.2909722222222222</v>
      </c>
      <c r="AD52" s="54" t="s">
        <v>20</v>
      </c>
      <c r="AF52" s="60" t="s">
        <v>31</v>
      </c>
      <c r="AG52" s="130">
        <v>1.125</v>
      </c>
      <c r="AH52" s="62" t="s">
        <v>19</v>
      </c>
      <c r="AI52" s="131">
        <v>1.2909722222222222</v>
      </c>
      <c r="AJ52" s="55" t="s">
        <v>21</v>
      </c>
      <c r="AL52" s="60" t="s">
        <v>31</v>
      </c>
      <c r="AM52" s="130">
        <v>1.125</v>
      </c>
      <c r="AN52" s="62" t="s">
        <v>19</v>
      </c>
      <c r="AO52" s="131">
        <v>1.2909722222222222</v>
      </c>
      <c r="AP52" s="56" t="s">
        <v>22</v>
      </c>
    </row>
    <row r="53" spans="2:42" s="80" customFormat="1" ht="17.25" hidden="1" customHeight="1" thickBot="1">
      <c r="B53" s="75" t="s">
        <v>33</v>
      </c>
      <c r="C53" s="76">
        <v>1.2916666666666667</v>
      </c>
      <c r="D53" s="77" t="s">
        <v>19</v>
      </c>
      <c r="E53" s="78">
        <v>1.4576388888888889</v>
      </c>
      <c r="F53" s="79" t="str">
        <f>F48</f>
        <v>AP소모</v>
      </c>
      <c r="H53" s="75" t="s">
        <v>33</v>
      </c>
      <c r="I53" s="76">
        <v>1.2916666666666667</v>
      </c>
      <c r="J53" s="77" t="s">
        <v>19</v>
      </c>
      <c r="K53" s="78">
        <v>1.4576388888888889</v>
      </c>
      <c r="L53" s="81" t="str">
        <f>L48</f>
        <v>펠몬강화</v>
      </c>
      <c r="N53" s="75" t="s">
        <v>33</v>
      </c>
      <c r="O53" s="76">
        <v>1.2916666666666667</v>
      </c>
      <c r="P53" s="77" t="s">
        <v>19</v>
      </c>
      <c r="Q53" s="78">
        <v>1.4576388888888889</v>
      </c>
      <c r="R53" s="82" t="str">
        <f>R48</f>
        <v>건물레벨업</v>
      </c>
      <c r="T53" s="75" t="s">
        <v>33</v>
      </c>
      <c r="U53" s="76">
        <v>1.2916666666666667</v>
      </c>
      <c r="V53" s="77" t="s">
        <v>19</v>
      </c>
      <c r="W53" s="78">
        <v>1.4576388888888889</v>
      </c>
      <c r="X53" s="83" t="str">
        <f>X48</f>
        <v>이미고훈련</v>
      </c>
      <c r="Z53" s="75" t="s">
        <v>33</v>
      </c>
      <c r="AA53" s="76">
        <v>1.2916666666666667</v>
      </c>
      <c r="AB53" s="77" t="s">
        <v>19</v>
      </c>
      <c r="AC53" s="78">
        <v>1.4576388888888889</v>
      </c>
      <c r="AD53" s="84" t="str">
        <f>AD48</f>
        <v>기술연구</v>
      </c>
      <c r="AF53" s="75" t="s">
        <v>33</v>
      </c>
      <c r="AG53" s="76">
        <v>1.2916666666666667</v>
      </c>
      <c r="AH53" s="77" t="s">
        <v>19</v>
      </c>
      <c r="AI53" s="78">
        <v>1.4576388888888889</v>
      </c>
      <c r="AJ53" s="85" t="str">
        <f>AJ48</f>
        <v>AP소모</v>
      </c>
      <c r="AL53" s="75" t="s">
        <v>33</v>
      </c>
      <c r="AM53" s="76">
        <v>1.2916666666666667</v>
      </c>
      <c r="AN53" s="77" t="s">
        <v>19</v>
      </c>
      <c r="AO53" s="78">
        <v>1.4576388888888889</v>
      </c>
      <c r="AP53" s="86" t="str">
        <f>AP48</f>
        <v>펠몬강화</v>
      </c>
    </row>
    <row r="54" spans="2:42" ht="6" hidden="1" customHeight="1" thickBot="1"/>
    <row r="55" spans="2:42" s="21" customFormat="1" ht="17.25" hidden="1" customHeight="1" thickBot="1">
      <c r="B55" s="238" t="s">
        <v>34</v>
      </c>
      <c r="C55" s="239"/>
      <c r="D55" s="239"/>
      <c r="E55" s="240"/>
      <c r="F55" s="20" t="s">
        <v>35</v>
      </c>
      <c r="H55" s="241" t="s">
        <v>36</v>
      </c>
      <c r="I55" s="242"/>
      <c r="J55" s="242"/>
      <c r="K55" s="243"/>
      <c r="L55" s="22" t="s">
        <v>37</v>
      </c>
      <c r="N55" s="244" t="s">
        <v>38</v>
      </c>
      <c r="O55" s="245"/>
      <c r="P55" s="245"/>
      <c r="Q55" s="246"/>
      <c r="R55" s="23" t="s">
        <v>39</v>
      </c>
      <c r="T55" s="247" t="s">
        <v>40</v>
      </c>
      <c r="U55" s="248"/>
      <c r="V55" s="248"/>
      <c r="W55" s="249"/>
      <c r="X55" s="24" t="s">
        <v>41</v>
      </c>
      <c r="Z55" s="250" t="s">
        <v>42</v>
      </c>
      <c r="AA55" s="251"/>
      <c r="AB55" s="251"/>
      <c r="AC55" s="252"/>
      <c r="AD55" s="25" t="s">
        <v>43</v>
      </c>
      <c r="AF55" s="253" t="s">
        <v>44</v>
      </c>
      <c r="AG55" s="254"/>
      <c r="AH55" s="254"/>
      <c r="AI55" s="255"/>
      <c r="AJ55" s="26" t="s">
        <v>45</v>
      </c>
      <c r="AL55" s="256" t="s">
        <v>46</v>
      </c>
      <c r="AM55" s="257"/>
      <c r="AN55" s="257"/>
      <c r="AO55" s="258"/>
      <c r="AP55" s="27" t="s">
        <v>47</v>
      </c>
    </row>
    <row r="56" spans="2:42" ht="17.25" hidden="1" customHeight="1">
      <c r="B56" s="211">
        <v>3</v>
      </c>
      <c r="C56" s="213" t="s">
        <v>48</v>
      </c>
      <c r="D56" s="214"/>
      <c r="E56" s="217" t="s">
        <v>49</v>
      </c>
      <c r="F56" s="235">
        <v>24</v>
      </c>
      <c r="H56" s="211">
        <f>B56+1</f>
        <v>4</v>
      </c>
      <c r="I56" s="213" t="s">
        <v>50</v>
      </c>
      <c r="J56" s="214"/>
      <c r="K56" s="217" t="s">
        <v>0</v>
      </c>
      <c r="L56" s="231">
        <f>F56+1</f>
        <v>25</v>
      </c>
      <c r="N56" s="211">
        <f>H56+1</f>
        <v>5</v>
      </c>
      <c r="O56" s="213" t="s">
        <v>15</v>
      </c>
      <c r="P56" s="214"/>
      <c r="Q56" s="217" t="s">
        <v>0</v>
      </c>
      <c r="R56" s="233">
        <f>L56+1</f>
        <v>26</v>
      </c>
      <c r="T56" s="211">
        <f>N56+1</f>
        <v>6</v>
      </c>
      <c r="U56" s="213" t="s">
        <v>15</v>
      </c>
      <c r="V56" s="214"/>
      <c r="W56" s="217" t="s">
        <v>0</v>
      </c>
      <c r="X56" s="259">
        <f>R56+1</f>
        <v>27</v>
      </c>
      <c r="Z56" s="211">
        <f>T56+1</f>
        <v>7</v>
      </c>
      <c r="AA56" s="213" t="s">
        <v>15</v>
      </c>
      <c r="AB56" s="214"/>
      <c r="AC56" s="217" t="s">
        <v>0</v>
      </c>
      <c r="AD56" s="221">
        <f>X56+1</f>
        <v>28</v>
      </c>
      <c r="AF56" s="223">
        <v>1</v>
      </c>
      <c r="AG56" s="213" t="s">
        <v>15</v>
      </c>
      <c r="AH56" s="214"/>
      <c r="AI56" s="217" t="s">
        <v>0</v>
      </c>
      <c r="AJ56" s="225">
        <f>AD56+1</f>
        <v>29</v>
      </c>
      <c r="AL56" s="211">
        <f>AF56+1</f>
        <v>2</v>
      </c>
      <c r="AM56" s="213" t="s">
        <v>15</v>
      </c>
      <c r="AN56" s="214"/>
      <c r="AO56" s="217" t="s">
        <v>0</v>
      </c>
      <c r="AP56" s="219">
        <f>AJ56+1</f>
        <v>30</v>
      </c>
    </row>
    <row r="57" spans="2:42" ht="17.25" hidden="1" customHeight="1" thickBot="1">
      <c r="B57" s="212"/>
      <c r="C57" s="215"/>
      <c r="D57" s="216"/>
      <c r="E57" s="218"/>
      <c r="F57" s="236"/>
      <c r="H57" s="212"/>
      <c r="I57" s="215"/>
      <c r="J57" s="216"/>
      <c r="K57" s="218"/>
      <c r="L57" s="232"/>
      <c r="N57" s="212"/>
      <c r="O57" s="215"/>
      <c r="P57" s="216"/>
      <c r="Q57" s="218"/>
      <c r="R57" s="234"/>
      <c r="T57" s="212"/>
      <c r="U57" s="215"/>
      <c r="V57" s="216"/>
      <c r="W57" s="218"/>
      <c r="X57" s="260"/>
      <c r="Z57" s="212"/>
      <c r="AA57" s="215"/>
      <c r="AB57" s="216"/>
      <c r="AC57" s="218"/>
      <c r="AD57" s="222"/>
      <c r="AF57" s="224"/>
      <c r="AG57" s="215"/>
      <c r="AH57" s="216"/>
      <c r="AI57" s="218"/>
      <c r="AJ57" s="226"/>
      <c r="AL57" s="212"/>
      <c r="AM57" s="215"/>
      <c r="AN57" s="216"/>
      <c r="AO57" s="218"/>
      <c r="AP57" s="220"/>
    </row>
    <row r="58" spans="2:42" ht="17.25" hidden="1" customHeight="1" thickBot="1">
      <c r="B58" s="208" t="s">
        <v>16</v>
      </c>
      <c r="C58" s="209"/>
      <c r="D58" s="209"/>
      <c r="E58" s="210"/>
      <c r="F58" s="28" t="s">
        <v>17</v>
      </c>
      <c r="H58" s="208" t="s">
        <v>16</v>
      </c>
      <c r="I58" s="209"/>
      <c r="J58" s="209"/>
      <c r="K58" s="210"/>
      <c r="L58" s="29" t="s">
        <v>17</v>
      </c>
      <c r="N58" s="208" t="s">
        <v>16</v>
      </c>
      <c r="O58" s="209"/>
      <c r="P58" s="209"/>
      <c r="Q58" s="210"/>
      <c r="R58" s="30" t="s">
        <v>17</v>
      </c>
      <c r="T58" s="208" t="s">
        <v>16</v>
      </c>
      <c r="U58" s="209"/>
      <c r="V58" s="209"/>
      <c r="W58" s="210"/>
      <c r="X58" s="31" t="s">
        <v>17</v>
      </c>
      <c r="Z58" s="208" t="s">
        <v>16</v>
      </c>
      <c r="AA58" s="209"/>
      <c r="AB58" s="209"/>
      <c r="AC58" s="210"/>
      <c r="AD58" s="32" t="s">
        <v>17</v>
      </c>
      <c r="AF58" s="208" t="s">
        <v>16</v>
      </c>
      <c r="AG58" s="209"/>
      <c r="AH58" s="209"/>
      <c r="AI58" s="210"/>
      <c r="AJ58" s="33" t="s">
        <v>17</v>
      </c>
      <c r="AL58" s="208" t="s">
        <v>16</v>
      </c>
      <c r="AM58" s="209"/>
      <c r="AN58" s="209"/>
      <c r="AO58" s="210"/>
      <c r="AP58" s="34" t="s">
        <v>17</v>
      </c>
    </row>
    <row r="59" spans="2:42" ht="17.25" hidden="1" customHeight="1">
      <c r="B59" s="35" t="s">
        <v>18</v>
      </c>
      <c r="C59" s="36">
        <v>1.4583333333333299</v>
      </c>
      <c r="D59" s="37" t="s">
        <v>19</v>
      </c>
      <c r="E59" s="38">
        <v>1.6243055555555554</v>
      </c>
      <c r="F59" s="39" t="s">
        <v>25</v>
      </c>
      <c r="H59" s="35" t="s">
        <v>18</v>
      </c>
      <c r="I59" s="36">
        <v>1.4583333333333299</v>
      </c>
      <c r="J59" s="37" t="s">
        <v>19</v>
      </c>
      <c r="K59" s="38">
        <v>1.6243055555555554</v>
      </c>
      <c r="L59" s="40" t="s">
        <v>20</v>
      </c>
      <c r="N59" s="35" t="s">
        <v>18</v>
      </c>
      <c r="O59" s="36">
        <v>1.4583333333333299</v>
      </c>
      <c r="P59" s="37" t="s">
        <v>19</v>
      </c>
      <c r="Q59" s="38">
        <v>1.6243055555555554</v>
      </c>
      <c r="R59" s="41" t="s">
        <v>21</v>
      </c>
      <c r="T59" s="35" t="s">
        <v>18</v>
      </c>
      <c r="U59" s="36">
        <v>1.4583333333333299</v>
      </c>
      <c r="V59" s="37" t="s">
        <v>19</v>
      </c>
      <c r="W59" s="38">
        <v>1.6243055555555554</v>
      </c>
      <c r="X59" s="42" t="str">
        <f>R60</f>
        <v>AP소모</v>
      </c>
      <c r="Z59" s="35" t="s">
        <v>18</v>
      </c>
      <c r="AA59" s="36">
        <v>1.4583333333333299</v>
      </c>
      <c r="AB59" s="37" t="s">
        <v>19</v>
      </c>
      <c r="AC59" s="38">
        <v>1.6243055555555554</v>
      </c>
      <c r="AD59" s="43" t="str">
        <f>X60</f>
        <v>펠몬강화</v>
      </c>
      <c r="AF59" s="35" t="s">
        <v>18</v>
      </c>
      <c r="AG59" s="36">
        <v>1.4583333333333299</v>
      </c>
      <c r="AH59" s="37" t="s">
        <v>19</v>
      </c>
      <c r="AI59" s="38">
        <v>1.6243055555555554</v>
      </c>
      <c r="AJ59" s="44" t="str">
        <f>AD60</f>
        <v>건물레벨업</v>
      </c>
      <c r="AL59" s="35" t="s">
        <v>18</v>
      </c>
      <c r="AM59" s="36">
        <v>1.4583333333333299</v>
      </c>
      <c r="AN59" s="37" t="s">
        <v>19</v>
      </c>
      <c r="AO59" s="38">
        <v>1.6243055555555554</v>
      </c>
      <c r="AP59" s="45" t="str">
        <f>AJ60</f>
        <v>이미고훈련</v>
      </c>
    </row>
    <row r="60" spans="2:42" ht="17.25" hidden="1" customHeight="1">
      <c r="B60" s="46" t="s">
        <v>26</v>
      </c>
      <c r="C60" s="92">
        <v>1.625</v>
      </c>
      <c r="D60" s="48" t="s">
        <v>19</v>
      </c>
      <c r="E60" s="116">
        <v>1.7909722222222224</v>
      </c>
      <c r="F60" s="50" t="s">
        <v>20</v>
      </c>
      <c r="H60" s="46" t="s">
        <v>26</v>
      </c>
      <c r="I60" s="92">
        <v>1.625</v>
      </c>
      <c r="J60" s="48" t="s">
        <v>19</v>
      </c>
      <c r="K60" s="116">
        <v>1.7909722222222224</v>
      </c>
      <c r="L60" s="51" t="s">
        <v>21</v>
      </c>
      <c r="N60" s="46" t="s">
        <v>26</v>
      </c>
      <c r="O60" s="92">
        <v>1.625</v>
      </c>
      <c r="P60" s="48" t="s">
        <v>19</v>
      </c>
      <c r="Q60" s="116">
        <v>1.7909722222222224</v>
      </c>
      <c r="R60" s="52" t="s">
        <v>22</v>
      </c>
      <c r="T60" s="46" t="s">
        <v>26</v>
      </c>
      <c r="U60" s="92">
        <v>1.625</v>
      </c>
      <c r="V60" s="48" t="s">
        <v>19</v>
      </c>
      <c r="W60" s="116">
        <v>1.7909722222222224</v>
      </c>
      <c r="X60" s="53" t="str">
        <f t="shared" ref="X60:X63" si="0">R61</f>
        <v>펠몬강화</v>
      </c>
      <c r="Z60" s="46" t="s">
        <v>26</v>
      </c>
      <c r="AA60" s="92">
        <v>1.625</v>
      </c>
      <c r="AB60" s="48" t="s">
        <v>19</v>
      </c>
      <c r="AC60" s="116">
        <v>1.7909722222222224</v>
      </c>
      <c r="AD60" s="54" t="str">
        <f t="shared" ref="AD60:AD63" si="1">X61</f>
        <v>건물레벨업</v>
      </c>
      <c r="AF60" s="46" t="s">
        <v>26</v>
      </c>
      <c r="AG60" s="92">
        <v>1.625</v>
      </c>
      <c r="AH60" s="48" t="s">
        <v>19</v>
      </c>
      <c r="AI60" s="116">
        <v>1.7909722222222224</v>
      </c>
      <c r="AJ60" s="55" t="str">
        <f t="shared" ref="AJ60:AJ63" si="2">AD61</f>
        <v>이미고훈련</v>
      </c>
      <c r="AL60" s="46" t="s">
        <v>26</v>
      </c>
      <c r="AM60" s="92">
        <v>1.625</v>
      </c>
      <c r="AN60" s="48" t="s">
        <v>19</v>
      </c>
      <c r="AO60" s="116">
        <v>1.7909722222222224</v>
      </c>
      <c r="AP60" s="56" t="str">
        <f t="shared" ref="AP60:AP63" si="3">AJ61</f>
        <v>기술연구</v>
      </c>
    </row>
    <row r="61" spans="2:42" ht="17.25" hidden="1" customHeight="1">
      <c r="B61" s="46" t="s">
        <v>28</v>
      </c>
      <c r="C61" s="93">
        <v>1.7916666666666701</v>
      </c>
      <c r="D61" s="58" t="s">
        <v>19</v>
      </c>
      <c r="E61" s="94">
        <v>1.9576388888888889</v>
      </c>
      <c r="F61" s="50" t="s">
        <v>21</v>
      </c>
      <c r="H61" s="46" t="s">
        <v>28</v>
      </c>
      <c r="I61" s="93">
        <v>1.7916666666666701</v>
      </c>
      <c r="J61" s="58" t="s">
        <v>19</v>
      </c>
      <c r="K61" s="94">
        <v>1.9576388888888889</v>
      </c>
      <c r="L61" s="51" t="s">
        <v>22</v>
      </c>
      <c r="N61" s="46" t="s">
        <v>28</v>
      </c>
      <c r="O61" s="93">
        <v>1.7916666666666701</v>
      </c>
      <c r="P61" s="58" t="s">
        <v>19</v>
      </c>
      <c r="Q61" s="94">
        <v>1.9576388888888889</v>
      </c>
      <c r="R61" s="52" t="s">
        <v>24</v>
      </c>
      <c r="T61" s="46" t="s">
        <v>28</v>
      </c>
      <c r="U61" s="93">
        <v>1.7916666666666701</v>
      </c>
      <c r="V61" s="58" t="s">
        <v>19</v>
      </c>
      <c r="W61" s="94">
        <v>1.9576388888888889</v>
      </c>
      <c r="X61" s="53" t="str">
        <f t="shared" si="0"/>
        <v>건물레벨업</v>
      </c>
      <c r="Z61" s="46" t="s">
        <v>28</v>
      </c>
      <c r="AA61" s="93">
        <v>1.7916666666666701</v>
      </c>
      <c r="AB61" s="58" t="s">
        <v>19</v>
      </c>
      <c r="AC61" s="94">
        <v>1.9576388888888889</v>
      </c>
      <c r="AD61" s="54" t="str">
        <f t="shared" si="1"/>
        <v>이미고훈련</v>
      </c>
      <c r="AF61" s="46" t="s">
        <v>28</v>
      </c>
      <c r="AG61" s="93">
        <v>1.7916666666666701</v>
      </c>
      <c r="AH61" s="58" t="s">
        <v>19</v>
      </c>
      <c r="AI61" s="94">
        <v>1.9576388888888889</v>
      </c>
      <c r="AJ61" s="55" t="str">
        <f t="shared" si="2"/>
        <v>기술연구</v>
      </c>
      <c r="AL61" s="46" t="s">
        <v>28</v>
      </c>
      <c r="AM61" s="93">
        <v>1.7916666666666701</v>
      </c>
      <c r="AN61" s="58" t="s">
        <v>19</v>
      </c>
      <c r="AO61" s="94">
        <v>1.9576388888888889</v>
      </c>
      <c r="AP61" s="56" t="str">
        <f t="shared" si="3"/>
        <v>AP소모</v>
      </c>
    </row>
    <row r="62" spans="2:42" ht="17.25" hidden="1" customHeight="1">
      <c r="B62" s="60" t="s">
        <v>30</v>
      </c>
      <c r="C62" s="130">
        <v>1.9583333333333335</v>
      </c>
      <c r="D62" s="62" t="s">
        <v>19</v>
      </c>
      <c r="E62" s="131">
        <v>1.1243055555555554</v>
      </c>
      <c r="F62" s="50" t="s">
        <v>22</v>
      </c>
      <c r="H62" s="60" t="s">
        <v>30</v>
      </c>
      <c r="I62" s="130">
        <v>1.9583333333333335</v>
      </c>
      <c r="J62" s="62" t="s">
        <v>19</v>
      </c>
      <c r="K62" s="131">
        <v>1.1243055555555554</v>
      </c>
      <c r="L62" s="51" t="s">
        <v>24</v>
      </c>
      <c r="N62" s="60" t="s">
        <v>30</v>
      </c>
      <c r="O62" s="130">
        <v>1.9583333333333335</v>
      </c>
      <c r="P62" s="62" t="s">
        <v>19</v>
      </c>
      <c r="Q62" s="131">
        <v>1.1243055555555554</v>
      </c>
      <c r="R62" s="52" t="s">
        <v>25</v>
      </c>
      <c r="T62" s="60" t="s">
        <v>30</v>
      </c>
      <c r="U62" s="130">
        <v>1.9583333333333335</v>
      </c>
      <c r="V62" s="62" t="s">
        <v>19</v>
      </c>
      <c r="W62" s="131">
        <v>1.1243055555555554</v>
      </c>
      <c r="X62" s="53" t="str">
        <f t="shared" si="0"/>
        <v>이미고훈련</v>
      </c>
      <c r="Z62" s="60" t="s">
        <v>30</v>
      </c>
      <c r="AA62" s="130">
        <v>1.9583333333333335</v>
      </c>
      <c r="AB62" s="62" t="s">
        <v>19</v>
      </c>
      <c r="AC62" s="131">
        <v>1.1243055555555554</v>
      </c>
      <c r="AD62" s="54" t="str">
        <f t="shared" si="1"/>
        <v>기술연구</v>
      </c>
      <c r="AF62" s="60" t="s">
        <v>30</v>
      </c>
      <c r="AG62" s="130">
        <v>1.9583333333333335</v>
      </c>
      <c r="AH62" s="62" t="s">
        <v>19</v>
      </c>
      <c r="AI62" s="131">
        <v>1.1243055555555554</v>
      </c>
      <c r="AJ62" s="55" t="str">
        <f t="shared" si="2"/>
        <v>AP소모</v>
      </c>
      <c r="AL62" s="60" t="s">
        <v>30</v>
      </c>
      <c r="AM62" s="130">
        <v>1.9583333333333335</v>
      </c>
      <c r="AN62" s="62" t="s">
        <v>19</v>
      </c>
      <c r="AO62" s="131">
        <v>1.1243055555555554</v>
      </c>
      <c r="AP62" s="56" t="str">
        <f t="shared" si="3"/>
        <v>펠몬강화</v>
      </c>
    </row>
    <row r="63" spans="2:42" ht="17.25" hidden="1" customHeight="1">
      <c r="B63" s="60" t="s">
        <v>31</v>
      </c>
      <c r="C63" s="130">
        <v>1.125</v>
      </c>
      <c r="D63" s="62" t="s">
        <v>19</v>
      </c>
      <c r="E63" s="131">
        <v>1.2909722222222222</v>
      </c>
      <c r="F63" s="50" t="s">
        <v>24</v>
      </c>
      <c r="H63" s="60" t="s">
        <v>31</v>
      </c>
      <c r="I63" s="130">
        <v>1.125</v>
      </c>
      <c r="J63" s="62" t="s">
        <v>19</v>
      </c>
      <c r="K63" s="131">
        <v>1.2909722222222222</v>
      </c>
      <c r="L63" s="51" t="s">
        <v>25</v>
      </c>
      <c r="N63" s="60" t="s">
        <v>31</v>
      </c>
      <c r="O63" s="130">
        <v>1.125</v>
      </c>
      <c r="P63" s="62" t="s">
        <v>19</v>
      </c>
      <c r="Q63" s="131">
        <v>1.2909722222222222</v>
      </c>
      <c r="R63" s="52" t="s">
        <v>20</v>
      </c>
      <c r="T63" s="60" t="s">
        <v>31</v>
      </c>
      <c r="U63" s="130">
        <v>1.125</v>
      </c>
      <c r="V63" s="62" t="s">
        <v>19</v>
      </c>
      <c r="W63" s="131">
        <v>1.2909722222222222</v>
      </c>
      <c r="X63" s="53" t="str">
        <f t="shared" si="0"/>
        <v>기술연구</v>
      </c>
      <c r="Z63" s="60" t="s">
        <v>31</v>
      </c>
      <c r="AA63" s="130">
        <v>1.125</v>
      </c>
      <c r="AB63" s="62" t="s">
        <v>19</v>
      </c>
      <c r="AC63" s="131">
        <v>1.2909722222222222</v>
      </c>
      <c r="AD63" s="54" t="str">
        <f t="shared" si="1"/>
        <v>AP소모</v>
      </c>
      <c r="AF63" s="60" t="s">
        <v>31</v>
      </c>
      <c r="AG63" s="130">
        <v>1.125</v>
      </c>
      <c r="AH63" s="62" t="s">
        <v>19</v>
      </c>
      <c r="AI63" s="131">
        <v>1.2909722222222222</v>
      </c>
      <c r="AJ63" s="55" t="str">
        <f t="shared" si="2"/>
        <v>펠몬강화</v>
      </c>
      <c r="AL63" s="60" t="s">
        <v>31</v>
      </c>
      <c r="AM63" s="130">
        <v>1.125</v>
      </c>
      <c r="AN63" s="62" t="s">
        <v>19</v>
      </c>
      <c r="AO63" s="131">
        <v>1.2909722222222222</v>
      </c>
      <c r="AP63" s="56" t="str">
        <f t="shared" si="3"/>
        <v>건물레벨업</v>
      </c>
    </row>
    <row r="64" spans="2:42" s="80" customFormat="1" ht="17.25" hidden="1" customHeight="1" thickBot="1">
      <c r="B64" s="75" t="s">
        <v>33</v>
      </c>
      <c r="C64" s="76">
        <v>1.2916666666666667</v>
      </c>
      <c r="D64" s="77" t="s">
        <v>19</v>
      </c>
      <c r="E64" s="78">
        <v>1.4576388888888889</v>
      </c>
      <c r="F64" s="79" t="str">
        <f>F59</f>
        <v>건물레벨업</v>
      </c>
      <c r="H64" s="75" t="s">
        <v>33</v>
      </c>
      <c r="I64" s="76">
        <v>1.2916666666666667</v>
      </c>
      <c r="J64" s="77" t="s">
        <v>19</v>
      </c>
      <c r="K64" s="78">
        <v>1.4576388888888889</v>
      </c>
      <c r="L64" s="81" t="str">
        <f>L59</f>
        <v>이미고훈련</v>
      </c>
      <c r="N64" s="75" t="s">
        <v>33</v>
      </c>
      <c r="O64" s="76">
        <v>1.2916666666666667</v>
      </c>
      <c r="P64" s="77" t="s">
        <v>19</v>
      </c>
      <c r="Q64" s="78">
        <v>1.4576388888888889</v>
      </c>
      <c r="R64" s="82" t="str">
        <f>R59</f>
        <v>기술연구</v>
      </c>
      <c r="T64" s="75" t="s">
        <v>33</v>
      </c>
      <c r="U64" s="76">
        <v>1.2916666666666667</v>
      </c>
      <c r="V64" s="77" t="s">
        <v>19</v>
      </c>
      <c r="W64" s="78">
        <v>1.4576388888888889</v>
      </c>
      <c r="X64" s="83" t="str">
        <f>X59</f>
        <v>AP소모</v>
      </c>
      <c r="Z64" s="75" t="s">
        <v>33</v>
      </c>
      <c r="AA64" s="76">
        <v>1.2916666666666667</v>
      </c>
      <c r="AB64" s="77" t="s">
        <v>19</v>
      </c>
      <c r="AC64" s="78">
        <v>1.4576388888888889</v>
      </c>
      <c r="AD64" s="84" t="str">
        <f>AD59</f>
        <v>펠몬강화</v>
      </c>
      <c r="AF64" s="75" t="s">
        <v>33</v>
      </c>
      <c r="AG64" s="76">
        <v>1.2916666666666667</v>
      </c>
      <c r="AH64" s="77" t="s">
        <v>19</v>
      </c>
      <c r="AI64" s="78">
        <v>1.4576388888888889</v>
      </c>
      <c r="AJ64" s="85" t="str">
        <f>AJ59</f>
        <v>건물레벨업</v>
      </c>
      <c r="AL64" s="75" t="s">
        <v>33</v>
      </c>
      <c r="AM64" s="76">
        <v>1.2916666666666667</v>
      </c>
      <c r="AN64" s="77" t="s">
        <v>19</v>
      </c>
      <c r="AO64" s="78">
        <v>1.4576388888888889</v>
      </c>
      <c r="AP64" s="86" t="str">
        <f>AP59</f>
        <v>이미고훈련</v>
      </c>
    </row>
  </sheetData>
  <mergeCells count="258">
    <mergeCell ref="AP56:AP57"/>
    <mergeCell ref="B58:E58"/>
    <mergeCell ref="H58:K58"/>
    <mergeCell ref="N58:Q58"/>
    <mergeCell ref="T58:W58"/>
    <mergeCell ref="Z58:AC58"/>
    <mergeCell ref="AF58:AI58"/>
    <mergeCell ref="AL58:AO58"/>
    <mergeCell ref="AG56:AH57"/>
    <mergeCell ref="AI56:AI57"/>
    <mergeCell ref="AJ56:AJ57"/>
    <mergeCell ref="AL56:AL57"/>
    <mergeCell ref="AM56:AN57"/>
    <mergeCell ref="AO56:AO57"/>
    <mergeCell ref="X56:X57"/>
    <mergeCell ref="Z56:Z57"/>
    <mergeCell ref="AA56:AB57"/>
    <mergeCell ref="AC56:AC57"/>
    <mergeCell ref="AD56:AD57"/>
    <mergeCell ref="AF56:AF57"/>
    <mergeCell ref="O56:P57"/>
    <mergeCell ref="Q56:Q57"/>
    <mergeCell ref="R56:R57"/>
    <mergeCell ref="T56:T57"/>
    <mergeCell ref="U56:V57"/>
    <mergeCell ref="W56:W57"/>
    <mergeCell ref="AL55:AO55"/>
    <mergeCell ref="B56:B57"/>
    <mergeCell ref="C56:D57"/>
    <mergeCell ref="E56:E57"/>
    <mergeCell ref="F56:F57"/>
    <mergeCell ref="H56:H57"/>
    <mergeCell ref="I56:J57"/>
    <mergeCell ref="K56:K57"/>
    <mergeCell ref="L56:L57"/>
    <mergeCell ref="N56:N57"/>
    <mergeCell ref="B55:E55"/>
    <mergeCell ref="H55:K55"/>
    <mergeCell ref="N55:Q55"/>
    <mergeCell ref="T55:W55"/>
    <mergeCell ref="Z55:AC55"/>
    <mergeCell ref="AF55:AI55"/>
    <mergeCell ref="AP45:AP46"/>
    <mergeCell ref="B47:E47"/>
    <mergeCell ref="H47:K47"/>
    <mergeCell ref="N47:Q47"/>
    <mergeCell ref="T47:W47"/>
    <mergeCell ref="Z47:AC47"/>
    <mergeCell ref="AF47:AI47"/>
    <mergeCell ref="AL47:AO47"/>
    <mergeCell ref="AG45:AH46"/>
    <mergeCell ref="AI45:AI46"/>
    <mergeCell ref="AJ45:AJ46"/>
    <mergeCell ref="AL45:AL46"/>
    <mergeCell ref="AM45:AN46"/>
    <mergeCell ref="AO45:AO46"/>
    <mergeCell ref="X45:X46"/>
    <mergeCell ref="Z45:Z46"/>
    <mergeCell ref="AA45:AB46"/>
    <mergeCell ref="AC45:AC46"/>
    <mergeCell ref="AD45:AD46"/>
    <mergeCell ref="AF45:AF46"/>
    <mergeCell ref="O45:P46"/>
    <mergeCell ref="Q45:Q46"/>
    <mergeCell ref="R45:R46"/>
    <mergeCell ref="T45:T46"/>
    <mergeCell ref="U45:V46"/>
    <mergeCell ref="W45:W46"/>
    <mergeCell ref="AL44:AO44"/>
    <mergeCell ref="B45:B46"/>
    <mergeCell ref="C45:D46"/>
    <mergeCell ref="E45:E46"/>
    <mergeCell ref="F45:F46"/>
    <mergeCell ref="H45:H46"/>
    <mergeCell ref="I45:J46"/>
    <mergeCell ref="K45:K46"/>
    <mergeCell ref="L45:L46"/>
    <mergeCell ref="N45:N46"/>
    <mergeCell ref="B44:E44"/>
    <mergeCell ref="H44:K44"/>
    <mergeCell ref="N44:Q44"/>
    <mergeCell ref="T44:W44"/>
    <mergeCell ref="Z44:AC44"/>
    <mergeCell ref="AF44:AI44"/>
    <mergeCell ref="AL34:AO35"/>
    <mergeCell ref="AP34:AP35"/>
    <mergeCell ref="B36:E36"/>
    <mergeCell ref="H36:K36"/>
    <mergeCell ref="N36:Q36"/>
    <mergeCell ref="T36:W36"/>
    <mergeCell ref="Z36:AC36"/>
    <mergeCell ref="AF36:AI36"/>
    <mergeCell ref="AL36:AO36"/>
    <mergeCell ref="T34:W35"/>
    <mergeCell ref="X34:X35"/>
    <mergeCell ref="Z34:AC35"/>
    <mergeCell ref="AD34:AD35"/>
    <mergeCell ref="AF34:AI35"/>
    <mergeCell ref="AJ34:AJ35"/>
    <mergeCell ref="B34:E35"/>
    <mergeCell ref="F34:F35"/>
    <mergeCell ref="H34:K35"/>
    <mergeCell ref="L34:L35"/>
    <mergeCell ref="N34:Q35"/>
    <mergeCell ref="R34:R35"/>
    <mergeCell ref="AG29:AI29"/>
    <mergeCell ref="AM29:AO29"/>
    <mergeCell ref="B31:AP31"/>
    <mergeCell ref="B33:E33"/>
    <mergeCell ref="H33:K33"/>
    <mergeCell ref="N33:Q33"/>
    <mergeCell ref="T33:W33"/>
    <mergeCell ref="Z33:AC33"/>
    <mergeCell ref="AF33:AI33"/>
    <mergeCell ref="AL33:AO33"/>
    <mergeCell ref="C28:E28"/>
    <mergeCell ref="I28:K28"/>
    <mergeCell ref="O28:Q28"/>
    <mergeCell ref="U28:W28"/>
    <mergeCell ref="AA28:AC28"/>
    <mergeCell ref="C29:E29"/>
    <mergeCell ref="I29:K29"/>
    <mergeCell ref="O29:Q29"/>
    <mergeCell ref="U29:W29"/>
    <mergeCell ref="AA29:AC29"/>
    <mergeCell ref="AL26:AO26"/>
    <mergeCell ref="C27:E27"/>
    <mergeCell ref="I27:K27"/>
    <mergeCell ref="O27:Q27"/>
    <mergeCell ref="U27:W27"/>
    <mergeCell ref="AA27:AC27"/>
    <mergeCell ref="AF27:AJ27"/>
    <mergeCell ref="C26:E26"/>
    <mergeCell ref="I26:K26"/>
    <mergeCell ref="O26:Q26"/>
    <mergeCell ref="U26:W26"/>
    <mergeCell ref="AA26:AC26"/>
    <mergeCell ref="AF26:AI26"/>
    <mergeCell ref="AL24:AO24"/>
    <mergeCell ref="C25:E25"/>
    <mergeCell ref="I25:K25"/>
    <mergeCell ref="O25:Q25"/>
    <mergeCell ref="U25:W25"/>
    <mergeCell ref="AA25:AC25"/>
    <mergeCell ref="AF25:AI25"/>
    <mergeCell ref="AL25:AO25"/>
    <mergeCell ref="C24:E24"/>
    <mergeCell ref="I24:K24"/>
    <mergeCell ref="O24:Q24"/>
    <mergeCell ref="U24:W24"/>
    <mergeCell ref="AA24:AC24"/>
    <mergeCell ref="AF24:AI24"/>
    <mergeCell ref="AL22:AO22"/>
    <mergeCell ref="C23:E23"/>
    <mergeCell ref="I23:K23"/>
    <mergeCell ref="O23:Q23"/>
    <mergeCell ref="U23:W23"/>
    <mergeCell ref="AA23:AC23"/>
    <mergeCell ref="AF23:AI23"/>
    <mergeCell ref="AL23:AO23"/>
    <mergeCell ref="C22:E22"/>
    <mergeCell ref="I22:K22"/>
    <mergeCell ref="O22:Q22"/>
    <mergeCell ref="U22:W22"/>
    <mergeCell ref="AA22:AC22"/>
    <mergeCell ref="AF22:AI22"/>
    <mergeCell ref="AL20:AO20"/>
    <mergeCell ref="C21:E21"/>
    <mergeCell ref="I21:K21"/>
    <mergeCell ref="O21:Q21"/>
    <mergeCell ref="U21:W21"/>
    <mergeCell ref="AA21:AC21"/>
    <mergeCell ref="AF21:AI21"/>
    <mergeCell ref="AL21:AO21"/>
    <mergeCell ref="C20:E20"/>
    <mergeCell ref="I20:K20"/>
    <mergeCell ref="O20:Q20"/>
    <mergeCell ref="U20:W20"/>
    <mergeCell ref="AA20:AC20"/>
    <mergeCell ref="AF20:AI20"/>
    <mergeCell ref="AL18:AO18"/>
    <mergeCell ref="C19:E19"/>
    <mergeCell ref="I19:K19"/>
    <mergeCell ref="O19:Q19"/>
    <mergeCell ref="U19:W19"/>
    <mergeCell ref="AA19:AC19"/>
    <mergeCell ref="AF19:AI19"/>
    <mergeCell ref="AL19:AO19"/>
    <mergeCell ref="C18:E18"/>
    <mergeCell ref="I18:K18"/>
    <mergeCell ref="O18:Q18"/>
    <mergeCell ref="U18:W18"/>
    <mergeCell ref="AA18:AC18"/>
    <mergeCell ref="AF18:AI18"/>
    <mergeCell ref="AM16:AO16"/>
    <mergeCell ref="C17:E17"/>
    <mergeCell ref="I17:K17"/>
    <mergeCell ref="O17:Q17"/>
    <mergeCell ref="U17:W17"/>
    <mergeCell ref="AA17:AC17"/>
    <mergeCell ref="AF17:AI17"/>
    <mergeCell ref="AM17:AO17"/>
    <mergeCell ref="C16:E16"/>
    <mergeCell ref="I16:K16"/>
    <mergeCell ref="O16:Q16"/>
    <mergeCell ref="U16:W16"/>
    <mergeCell ref="AA16:AC16"/>
    <mergeCell ref="AG16:AI16"/>
    <mergeCell ref="AM14:AO14"/>
    <mergeCell ref="C15:E15"/>
    <mergeCell ref="I15:K15"/>
    <mergeCell ref="O15:Q15"/>
    <mergeCell ref="U15:W15"/>
    <mergeCell ref="AA15:AC15"/>
    <mergeCell ref="AG15:AI15"/>
    <mergeCell ref="AM15:AO15"/>
    <mergeCell ref="C14:E14"/>
    <mergeCell ref="I14:K14"/>
    <mergeCell ref="O14:Q14"/>
    <mergeCell ref="U14:W14"/>
    <mergeCell ref="AA14:AC14"/>
    <mergeCell ref="AG14:AI14"/>
    <mergeCell ref="AM12:AO12"/>
    <mergeCell ref="C13:E13"/>
    <mergeCell ref="I13:K13"/>
    <mergeCell ref="O13:Q13"/>
    <mergeCell ref="U13:W13"/>
    <mergeCell ref="AA13:AC13"/>
    <mergeCell ref="AG13:AI13"/>
    <mergeCell ref="AM13:AO13"/>
    <mergeCell ref="C12:E12"/>
    <mergeCell ref="I12:K12"/>
    <mergeCell ref="O12:Q12"/>
    <mergeCell ref="U12:W12"/>
    <mergeCell ref="AA12:AC12"/>
    <mergeCell ref="AG12:AI12"/>
    <mergeCell ref="C11:E11"/>
    <mergeCell ref="I11:K11"/>
    <mergeCell ref="O11:Q11"/>
    <mergeCell ref="U11:W11"/>
    <mergeCell ref="AA11:AC11"/>
    <mergeCell ref="AG11:AI11"/>
    <mergeCell ref="AM11:AO11"/>
    <mergeCell ref="B10:E10"/>
    <mergeCell ref="H10:K10"/>
    <mergeCell ref="N10:Q10"/>
    <mergeCell ref="T10:W10"/>
    <mergeCell ref="Z10:AC10"/>
    <mergeCell ref="AF10:AJ10"/>
    <mergeCell ref="B1:AP1"/>
    <mergeCell ref="B9:E9"/>
    <mergeCell ref="H9:K9"/>
    <mergeCell ref="N9:Q9"/>
    <mergeCell ref="T9:W9"/>
    <mergeCell ref="Z9:AC9"/>
    <mergeCell ref="AF9:AJ9"/>
    <mergeCell ref="AL9:AP9"/>
    <mergeCell ref="AL10:AP10"/>
  </mergeCells>
  <phoneticPr fontId="18" type="noConversion"/>
  <printOptions horizontalCentered="1"/>
  <pageMargins left="0" right="0" top="0.39370078740157483" bottom="0.39370078740157483" header="0.31496062992125984" footer="0.31496062992125984"/>
  <pageSetup paperSize="9" scale="5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AP64"/>
  <sheetViews>
    <sheetView tabSelected="1" workbookViewId="0">
      <pane ySplit="1" topLeftCell="A2" activePane="bottomLeft" state="frozen"/>
      <selection pane="bottomLeft" activeCell="AA28" sqref="AA28:AC28"/>
    </sheetView>
  </sheetViews>
  <sheetFormatPr defaultRowHeight="17.25" customHeight="1"/>
  <cols>
    <col min="1" max="1" width="1" customWidth="1"/>
    <col min="2" max="2" width="6.625" style="1" customWidth="1"/>
    <col min="3" max="3" width="7" style="2" customWidth="1"/>
    <col min="4" max="4" width="1.625" style="3" customWidth="1"/>
    <col min="5" max="5" width="7" style="2" customWidth="1"/>
    <col min="6" max="6" width="9.25" style="4" customWidth="1"/>
    <col min="7" max="7" width="0.5" customWidth="1"/>
    <col min="8" max="8" width="6.625" style="1" customWidth="1"/>
    <col min="9" max="9" width="7" style="2" customWidth="1"/>
    <col min="10" max="10" width="1.625" style="3" customWidth="1"/>
    <col min="11" max="11" width="7" style="2" customWidth="1"/>
    <col min="12" max="12" width="9.25" style="4" customWidth="1"/>
    <col min="13" max="13" width="0.5" customWidth="1"/>
    <col min="14" max="14" width="6.625" style="1" customWidth="1"/>
    <col min="15" max="15" width="7" style="2" customWidth="1"/>
    <col min="16" max="16" width="1.625" style="3" customWidth="1"/>
    <col min="17" max="17" width="7" style="2" customWidth="1"/>
    <col min="18" max="18" width="9.25" style="4" customWidth="1"/>
    <col min="19" max="19" width="0.5" customWidth="1"/>
    <col min="20" max="20" width="6.625" style="1" customWidth="1"/>
    <col min="21" max="21" width="7" style="2" customWidth="1"/>
    <col min="22" max="22" width="1.625" style="3" customWidth="1"/>
    <col min="23" max="23" width="7" style="2" customWidth="1"/>
    <col min="24" max="24" width="9.25" style="4" customWidth="1"/>
    <col min="25" max="25" width="0.5" customWidth="1"/>
    <col min="26" max="26" width="6.625" style="1" customWidth="1"/>
    <col min="27" max="27" width="7" style="2" customWidth="1"/>
    <col min="28" max="28" width="1.625" style="3" customWidth="1"/>
    <col min="29" max="29" width="7" style="2" customWidth="1"/>
    <col min="30" max="30" width="9.25" style="4" customWidth="1"/>
    <col min="31" max="31" width="0.5" customWidth="1"/>
    <col min="32" max="32" width="6.625" style="1" customWidth="1"/>
    <col min="33" max="33" width="7" style="2" customWidth="1"/>
    <col min="34" max="34" width="1.625" style="3" customWidth="1"/>
    <col min="35" max="35" width="7" style="2" customWidth="1"/>
    <col min="36" max="36" width="9.25" style="4" customWidth="1"/>
    <col min="37" max="37" width="0.5" customWidth="1"/>
    <col min="38" max="38" width="6.625" style="1" customWidth="1"/>
    <col min="39" max="39" width="7" style="2" customWidth="1"/>
    <col min="40" max="40" width="1.625" style="3" customWidth="1"/>
    <col min="41" max="41" width="7" style="2" customWidth="1"/>
    <col min="42" max="42" width="9.25" style="4" customWidth="1"/>
    <col min="43" max="43" width="1.375" customWidth="1"/>
  </cols>
  <sheetData>
    <row r="1" spans="2:42" ht="36.75" hidden="1" customHeight="1">
      <c r="B1" s="261" t="s">
        <v>138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</row>
    <row r="2" spans="2:42" ht="4.5" customHeight="1"/>
    <row r="3" spans="2:42" ht="22.5" hidden="1" customHeight="1">
      <c r="B3" s="5"/>
      <c r="C3" s="6"/>
      <c r="D3" s="7"/>
      <c r="E3" s="6"/>
      <c r="F3" s="8"/>
      <c r="G3" s="9"/>
      <c r="H3" s="5"/>
      <c r="I3" s="6"/>
      <c r="J3" s="7"/>
      <c r="K3" s="6"/>
      <c r="L3" s="8"/>
      <c r="M3" s="9"/>
      <c r="N3" s="5"/>
      <c r="O3" s="6"/>
      <c r="P3" s="7"/>
      <c r="Q3" s="6"/>
      <c r="R3" s="8"/>
      <c r="S3" s="9"/>
      <c r="T3" s="5"/>
      <c r="U3" s="6"/>
      <c r="V3" s="7"/>
      <c r="W3" s="6"/>
      <c r="X3" s="8"/>
      <c r="Y3" s="9"/>
      <c r="Z3" s="5"/>
      <c r="AA3" s="6"/>
      <c r="AB3" s="7"/>
      <c r="AC3" s="6"/>
      <c r="AD3" s="8"/>
      <c r="AE3" s="9"/>
      <c r="AF3" s="5"/>
      <c r="AG3" s="6"/>
      <c r="AH3" s="7"/>
      <c r="AI3" s="6"/>
      <c r="AJ3" s="8"/>
      <c r="AK3" s="9"/>
      <c r="AL3" s="5"/>
      <c r="AM3" s="6"/>
      <c r="AN3" s="7"/>
      <c r="AO3" s="6"/>
      <c r="AP3" s="8"/>
    </row>
    <row r="4" spans="2:42" ht="22.5" hidden="1" customHeight="1">
      <c r="B4" s="10"/>
      <c r="C4" s="11"/>
      <c r="D4" s="12"/>
      <c r="E4" s="11"/>
      <c r="F4" s="13"/>
      <c r="G4" s="14"/>
      <c r="H4" s="10"/>
      <c r="I4" s="11"/>
      <c r="J4" s="12"/>
      <c r="K4" s="11"/>
      <c r="L4" s="13"/>
      <c r="M4" s="14"/>
      <c r="N4" s="10"/>
      <c r="O4" s="11"/>
      <c r="P4" s="12"/>
      <c r="Q4" s="11"/>
      <c r="R4" s="13"/>
      <c r="S4" s="14"/>
      <c r="T4" s="10"/>
      <c r="U4" s="11"/>
      <c r="V4" s="12"/>
      <c r="W4" s="11"/>
      <c r="X4" s="13"/>
      <c r="Y4" s="14"/>
      <c r="Z4" s="10"/>
      <c r="AA4" s="11"/>
      <c r="AB4" s="12"/>
      <c r="AC4" s="11"/>
      <c r="AD4" s="13"/>
      <c r="AE4" s="14"/>
      <c r="AF4" s="10"/>
      <c r="AG4" s="11"/>
      <c r="AH4" s="12"/>
      <c r="AI4" s="11"/>
      <c r="AJ4" s="13"/>
      <c r="AK4" s="14"/>
      <c r="AL4" s="10"/>
      <c r="AM4" s="11"/>
      <c r="AN4" s="12"/>
      <c r="AO4" s="11"/>
      <c r="AP4" s="13"/>
    </row>
    <row r="5" spans="2:42" ht="22.5" hidden="1" customHeight="1">
      <c r="B5" s="10"/>
      <c r="C5" s="15"/>
      <c r="D5" s="16"/>
      <c r="E5" s="15"/>
      <c r="F5" s="17"/>
      <c r="G5" s="18"/>
      <c r="H5" s="19"/>
      <c r="I5" s="15"/>
      <c r="J5" s="16"/>
      <c r="K5" s="15"/>
      <c r="L5" s="17"/>
      <c r="M5" s="18"/>
      <c r="N5" s="19"/>
      <c r="O5" s="15"/>
      <c r="P5" s="16"/>
      <c r="Q5" s="15"/>
      <c r="R5" s="17"/>
      <c r="S5" s="18"/>
      <c r="T5" s="19"/>
      <c r="U5" s="15"/>
      <c r="V5" s="16"/>
      <c r="W5" s="15"/>
      <c r="X5" s="17"/>
      <c r="Y5" s="18"/>
      <c r="Z5" s="19"/>
      <c r="AA5" s="15"/>
      <c r="AB5" s="16"/>
      <c r="AC5" s="15"/>
      <c r="AD5" s="17"/>
      <c r="AE5" s="18"/>
      <c r="AF5" s="19"/>
      <c r="AG5" s="15"/>
      <c r="AH5" s="16"/>
      <c r="AI5" s="15"/>
      <c r="AJ5" s="17"/>
      <c r="AK5" s="18"/>
      <c r="AL5" s="19"/>
      <c r="AM5" s="15"/>
      <c r="AN5" s="16"/>
      <c r="AO5" s="15"/>
      <c r="AP5" s="17"/>
    </row>
    <row r="6" spans="2:42" ht="22.5" hidden="1" customHeight="1">
      <c r="B6" s="19"/>
      <c r="C6" s="15"/>
      <c r="D6" s="16"/>
      <c r="E6" s="15"/>
      <c r="F6" s="17"/>
      <c r="G6" s="18"/>
      <c r="H6" s="19"/>
      <c r="I6" s="15"/>
      <c r="J6" s="16"/>
      <c r="K6" s="15"/>
      <c r="L6" s="17"/>
      <c r="M6" s="18"/>
      <c r="N6" s="19"/>
      <c r="O6" s="15"/>
      <c r="P6" s="16"/>
      <c r="Q6" s="15"/>
      <c r="R6" s="17"/>
      <c r="S6" s="18"/>
      <c r="T6" s="19"/>
      <c r="U6" s="15"/>
      <c r="V6" s="16"/>
      <c r="W6" s="15"/>
      <c r="X6" s="17"/>
      <c r="Y6" s="18"/>
      <c r="Z6" s="19"/>
      <c r="AA6" s="15"/>
      <c r="AB6" s="16"/>
      <c r="AC6" s="15"/>
      <c r="AD6" s="17"/>
      <c r="AE6" s="18"/>
      <c r="AF6" s="19"/>
      <c r="AG6" s="15"/>
      <c r="AH6" s="16"/>
      <c r="AI6" s="15"/>
      <c r="AJ6" s="17"/>
      <c r="AK6" s="18"/>
      <c r="AL6" s="19"/>
      <c r="AM6" s="15"/>
      <c r="AN6" s="16"/>
      <c r="AO6" s="15"/>
      <c r="AP6" s="17"/>
    </row>
    <row r="7" spans="2:42" ht="22.5" hidden="1" customHeight="1">
      <c r="B7" s="19"/>
      <c r="C7" s="15"/>
      <c r="D7" s="16"/>
      <c r="E7" s="15"/>
      <c r="F7" s="17"/>
      <c r="G7" s="18"/>
      <c r="H7" s="19"/>
      <c r="I7" s="15"/>
      <c r="J7" s="16"/>
      <c r="K7" s="15"/>
      <c r="L7" s="17"/>
      <c r="M7" s="18"/>
      <c r="N7" s="19"/>
      <c r="O7" s="15"/>
      <c r="P7" s="16"/>
      <c r="Q7" s="15"/>
      <c r="R7" s="17"/>
      <c r="S7" s="18"/>
      <c r="T7" s="19"/>
      <c r="U7" s="15"/>
      <c r="V7" s="16"/>
      <c r="W7" s="15"/>
      <c r="X7" s="17"/>
      <c r="Y7" s="18"/>
      <c r="Z7" s="19"/>
      <c r="AA7" s="15"/>
      <c r="AB7" s="16"/>
      <c r="AC7" s="15"/>
      <c r="AD7" s="17"/>
      <c r="AE7" s="18"/>
      <c r="AF7" s="19"/>
      <c r="AG7" s="15"/>
      <c r="AH7" s="16"/>
      <c r="AI7" s="15"/>
      <c r="AJ7" s="17"/>
      <c r="AK7" s="18"/>
      <c r="AL7" s="19"/>
      <c r="AM7" s="15"/>
      <c r="AN7" s="16"/>
      <c r="AO7" s="15"/>
      <c r="AP7" s="17"/>
    </row>
    <row r="8" spans="2:42" ht="7.5" customHeight="1" thickBot="1"/>
    <row r="9" spans="2:42" s="21" customFormat="1" ht="17.25" customHeight="1" thickBot="1">
      <c r="B9" s="238" t="s">
        <v>1</v>
      </c>
      <c r="C9" s="239"/>
      <c r="D9" s="239"/>
      <c r="E9" s="240"/>
      <c r="F9" s="20" t="s">
        <v>2</v>
      </c>
      <c r="H9" s="241" t="s">
        <v>3</v>
      </c>
      <c r="I9" s="242"/>
      <c r="J9" s="242"/>
      <c r="K9" s="243"/>
      <c r="L9" s="22" t="s">
        <v>4</v>
      </c>
      <c r="N9" s="244" t="s">
        <v>5</v>
      </c>
      <c r="O9" s="245"/>
      <c r="P9" s="245"/>
      <c r="Q9" s="246"/>
      <c r="R9" s="23" t="s">
        <v>6</v>
      </c>
      <c r="T9" s="247" t="s">
        <v>7</v>
      </c>
      <c r="U9" s="248"/>
      <c r="V9" s="248"/>
      <c r="W9" s="249"/>
      <c r="X9" s="24" t="s">
        <v>8</v>
      </c>
      <c r="Z9" s="250" t="s">
        <v>9</v>
      </c>
      <c r="AA9" s="251"/>
      <c r="AB9" s="251"/>
      <c r="AC9" s="252"/>
      <c r="AD9" s="25" t="s">
        <v>10</v>
      </c>
      <c r="AF9" s="253" t="s">
        <v>141</v>
      </c>
      <c r="AG9" s="254"/>
      <c r="AH9" s="254"/>
      <c r="AI9" s="254"/>
      <c r="AJ9" s="255"/>
      <c r="AL9" s="253" t="s">
        <v>141</v>
      </c>
      <c r="AM9" s="254"/>
      <c r="AN9" s="254"/>
      <c r="AO9" s="254"/>
      <c r="AP9" s="255"/>
    </row>
    <row r="10" spans="2:42" ht="17.25" hidden="1" customHeight="1" thickBot="1">
      <c r="B10" s="208"/>
      <c r="C10" s="209"/>
      <c r="D10" s="209"/>
      <c r="E10" s="210"/>
      <c r="F10" s="87"/>
      <c r="H10" s="208"/>
      <c r="I10" s="209"/>
      <c r="J10" s="209"/>
      <c r="K10" s="210"/>
      <c r="L10" s="29"/>
      <c r="N10" s="208"/>
      <c r="O10" s="209"/>
      <c r="P10" s="209"/>
      <c r="Q10" s="210"/>
      <c r="R10" s="30"/>
      <c r="T10" s="208"/>
      <c r="U10" s="209"/>
      <c r="V10" s="209"/>
      <c r="W10" s="210"/>
      <c r="X10" s="31"/>
      <c r="Z10" s="208"/>
      <c r="AA10" s="209"/>
      <c r="AB10" s="209"/>
      <c r="AC10" s="210"/>
      <c r="AD10" s="32"/>
      <c r="AF10" s="208"/>
      <c r="AG10" s="209"/>
      <c r="AH10" s="209"/>
      <c r="AI10" s="209"/>
      <c r="AJ10" s="210"/>
      <c r="AL10" s="208"/>
      <c r="AM10" s="209"/>
      <c r="AN10" s="209"/>
      <c r="AO10" s="209"/>
      <c r="AP10" s="210"/>
    </row>
    <row r="11" spans="2:42" ht="17.25" customHeight="1">
      <c r="B11" s="91"/>
      <c r="C11" s="202" t="s">
        <v>55</v>
      </c>
      <c r="D11" s="203"/>
      <c r="E11" s="204"/>
      <c r="F11" s="151">
        <v>300</v>
      </c>
      <c r="H11" s="91"/>
      <c r="I11" s="202" t="s">
        <v>65</v>
      </c>
      <c r="J11" s="203"/>
      <c r="K11" s="204"/>
      <c r="L11" s="95">
        <v>118</v>
      </c>
      <c r="N11" s="91"/>
      <c r="O11" s="202" t="s">
        <v>68</v>
      </c>
      <c r="P11" s="203"/>
      <c r="Q11" s="204"/>
      <c r="R11" s="99">
        <v>118</v>
      </c>
      <c r="T11" s="123"/>
      <c r="U11" s="199" t="s">
        <v>81</v>
      </c>
      <c r="V11" s="200"/>
      <c r="W11" s="201"/>
      <c r="X11" s="126">
        <v>6900</v>
      </c>
      <c r="Z11" s="123"/>
      <c r="AA11" s="199" t="s">
        <v>56</v>
      </c>
      <c r="AB11" s="200"/>
      <c r="AC11" s="201"/>
      <c r="AD11" s="125">
        <v>28200</v>
      </c>
      <c r="AF11" s="123"/>
      <c r="AG11" s="175" t="s">
        <v>66</v>
      </c>
      <c r="AH11" s="176"/>
      <c r="AI11" s="177"/>
      <c r="AJ11" s="124">
        <v>200000</v>
      </c>
      <c r="AL11" s="60"/>
      <c r="AM11" s="162"/>
      <c r="AN11" s="163"/>
      <c r="AO11" s="164"/>
      <c r="AP11" s="107"/>
    </row>
    <row r="12" spans="2:42" ht="17.25" customHeight="1" thickBot="1">
      <c r="B12" s="149"/>
      <c r="C12" s="205" t="s">
        <v>56</v>
      </c>
      <c r="D12" s="206"/>
      <c r="E12" s="207"/>
      <c r="F12" s="150">
        <v>28200</v>
      </c>
      <c r="H12" s="128"/>
      <c r="I12" s="190" t="s">
        <v>70</v>
      </c>
      <c r="J12" s="191"/>
      <c r="K12" s="192"/>
      <c r="L12" s="142">
        <v>10</v>
      </c>
      <c r="N12" s="46"/>
      <c r="O12" s="162" t="s">
        <v>69</v>
      </c>
      <c r="P12" s="163"/>
      <c r="Q12" s="164"/>
      <c r="R12" s="100">
        <v>10</v>
      </c>
      <c r="T12" s="128"/>
      <c r="U12" s="190" t="s">
        <v>57</v>
      </c>
      <c r="V12" s="191"/>
      <c r="W12" s="192"/>
      <c r="X12" s="129">
        <v>2</v>
      </c>
      <c r="Z12" s="46"/>
      <c r="AA12" s="172" t="s">
        <v>85</v>
      </c>
      <c r="AB12" s="173"/>
      <c r="AC12" s="174"/>
      <c r="AD12" s="105">
        <v>118</v>
      </c>
      <c r="AF12" s="60"/>
      <c r="AG12" s="175" t="s">
        <v>67</v>
      </c>
      <c r="AH12" s="176"/>
      <c r="AI12" s="177"/>
      <c r="AJ12" s="124">
        <v>150000</v>
      </c>
      <c r="AL12" s="60"/>
      <c r="AM12" s="162"/>
      <c r="AN12" s="163"/>
      <c r="AO12" s="164"/>
      <c r="AP12" s="107"/>
    </row>
    <row r="13" spans="2:42" ht="17.25" customHeight="1" thickBot="1">
      <c r="B13" s="148"/>
      <c r="C13" s="172" t="s">
        <v>57</v>
      </c>
      <c r="D13" s="173"/>
      <c r="E13" s="174"/>
      <c r="F13" s="88">
        <v>2</v>
      </c>
      <c r="H13" s="119" t="s">
        <v>140</v>
      </c>
      <c r="I13" s="199" t="s">
        <v>66</v>
      </c>
      <c r="J13" s="200"/>
      <c r="K13" s="201"/>
      <c r="L13" s="143">
        <v>200000</v>
      </c>
      <c r="N13" s="128"/>
      <c r="O13" s="190" t="s">
        <v>71</v>
      </c>
      <c r="P13" s="191"/>
      <c r="Q13" s="192"/>
      <c r="R13" s="138">
        <v>600</v>
      </c>
      <c r="T13" s="123"/>
      <c r="U13" s="193" t="s">
        <v>82</v>
      </c>
      <c r="V13" s="194"/>
      <c r="W13" s="195"/>
      <c r="X13" s="132">
        <v>20000</v>
      </c>
      <c r="Z13" s="46"/>
      <c r="AA13" s="162" t="s">
        <v>70</v>
      </c>
      <c r="AB13" s="163"/>
      <c r="AC13" s="164"/>
      <c r="AD13" s="105">
        <v>10</v>
      </c>
      <c r="AF13" s="46"/>
      <c r="AG13" s="172" t="s">
        <v>85</v>
      </c>
      <c r="AH13" s="173"/>
      <c r="AI13" s="174"/>
      <c r="AJ13" s="107">
        <v>118</v>
      </c>
      <c r="AL13" s="60"/>
      <c r="AM13" s="162"/>
      <c r="AN13" s="163"/>
      <c r="AO13" s="164"/>
      <c r="AP13" s="107"/>
    </row>
    <row r="14" spans="2:42" ht="17.25" customHeight="1" thickBot="1">
      <c r="B14" s="111"/>
      <c r="C14" s="190" t="s">
        <v>58</v>
      </c>
      <c r="D14" s="191"/>
      <c r="E14" s="192"/>
      <c r="F14" s="145">
        <v>6</v>
      </c>
      <c r="H14" s="114" t="s">
        <v>139</v>
      </c>
      <c r="I14" s="168" t="s">
        <v>67</v>
      </c>
      <c r="J14" s="169"/>
      <c r="K14" s="170"/>
      <c r="L14" s="144">
        <v>150000</v>
      </c>
      <c r="N14" s="119"/>
      <c r="O14" s="193" t="s">
        <v>72</v>
      </c>
      <c r="P14" s="194"/>
      <c r="Q14" s="195"/>
      <c r="R14" s="139">
        <v>28200</v>
      </c>
      <c r="T14" s="133"/>
      <c r="U14" s="178" t="s">
        <v>83</v>
      </c>
      <c r="V14" s="179"/>
      <c r="W14" s="180"/>
      <c r="X14" s="134">
        <v>8000</v>
      </c>
      <c r="Z14" s="60"/>
      <c r="AA14" s="172" t="s">
        <v>86</v>
      </c>
      <c r="AB14" s="173"/>
      <c r="AC14" s="174"/>
      <c r="AD14" s="105">
        <v>118</v>
      </c>
      <c r="AF14" s="60"/>
      <c r="AG14" s="172" t="s">
        <v>86</v>
      </c>
      <c r="AH14" s="173"/>
      <c r="AI14" s="174"/>
      <c r="AJ14" s="107">
        <v>118</v>
      </c>
      <c r="AL14" s="60"/>
      <c r="AM14" s="162"/>
      <c r="AN14" s="163"/>
      <c r="AO14" s="164"/>
      <c r="AP14" s="107"/>
    </row>
    <row r="15" spans="2:42" ht="17.25" customHeight="1" thickBot="1">
      <c r="B15" s="146"/>
      <c r="C15" s="184" t="s">
        <v>59</v>
      </c>
      <c r="D15" s="185"/>
      <c r="E15" s="186"/>
      <c r="F15" s="147">
        <v>5000</v>
      </c>
      <c r="H15" s="118"/>
      <c r="I15" s="172" t="s">
        <v>63</v>
      </c>
      <c r="J15" s="173"/>
      <c r="K15" s="174"/>
      <c r="L15" s="95">
        <v>600</v>
      </c>
      <c r="N15" s="141"/>
      <c r="O15" s="187" t="s">
        <v>73</v>
      </c>
      <c r="P15" s="188"/>
      <c r="Q15" s="189"/>
      <c r="R15" s="112">
        <v>600</v>
      </c>
      <c r="T15" s="135"/>
      <c r="U15" s="181" t="s">
        <v>84</v>
      </c>
      <c r="V15" s="182"/>
      <c r="W15" s="183"/>
      <c r="X15" s="136">
        <v>4000</v>
      </c>
      <c r="Z15" s="111"/>
      <c r="AA15" s="190" t="s">
        <v>69</v>
      </c>
      <c r="AB15" s="191"/>
      <c r="AC15" s="192"/>
      <c r="AD15" s="117">
        <v>10</v>
      </c>
      <c r="AF15" s="60"/>
      <c r="AG15" s="172" t="s">
        <v>87</v>
      </c>
      <c r="AH15" s="173"/>
      <c r="AI15" s="174"/>
      <c r="AJ15" s="107">
        <v>118</v>
      </c>
      <c r="AL15" s="60"/>
      <c r="AM15" s="162"/>
      <c r="AN15" s="163"/>
      <c r="AO15" s="164"/>
      <c r="AP15" s="107"/>
    </row>
    <row r="16" spans="2:42" ht="17.25" customHeight="1">
      <c r="B16" s="118"/>
      <c r="C16" s="172" t="s">
        <v>60</v>
      </c>
      <c r="D16" s="173"/>
      <c r="E16" s="174"/>
      <c r="F16" s="88">
        <v>40</v>
      </c>
      <c r="H16" s="60"/>
      <c r="I16" s="162"/>
      <c r="J16" s="163"/>
      <c r="K16" s="164"/>
      <c r="L16" s="96"/>
      <c r="N16" s="123"/>
      <c r="O16" s="193" t="s">
        <v>75</v>
      </c>
      <c r="P16" s="194"/>
      <c r="Q16" s="195"/>
      <c r="R16" s="139">
        <v>300000</v>
      </c>
      <c r="T16" s="118"/>
      <c r="U16" s="196" t="s">
        <v>79</v>
      </c>
      <c r="V16" s="197"/>
      <c r="W16" s="198"/>
      <c r="X16" s="126">
        <v>200</v>
      </c>
      <c r="Z16" s="119"/>
      <c r="AA16" s="199" t="s">
        <v>87</v>
      </c>
      <c r="AB16" s="200"/>
      <c r="AC16" s="201"/>
      <c r="AD16" s="120">
        <v>118</v>
      </c>
      <c r="AF16" s="60"/>
      <c r="AG16" s="172" t="s">
        <v>99</v>
      </c>
      <c r="AH16" s="173"/>
      <c r="AI16" s="174"/>
      <c r="AJ16" s="107">
        <v>118</v>
      </c>
      <c r="AL16" s="60"/>
      <c r="AM16" s="162"/>
      <c r="AN16" s="163"/>
      <c r="AO16" s="164"/>
      <c r="AP16" s="107"/>
    </row>
    <row r="17" spans="2:42" ht="17.25" customHeight="1">
      <c r="B17" s="60"/>
      <c r="C17" s="162" t="s">
        <v>61</v>
      </c>
      <c r="D17" s="163"/>
      <c r="E17" s="164"/>
      <c r="F17" s="89">
        <v>40</v>
      </c>
      <c r="H17" s="60"/>
      <c r="I17" s="162"/>
      <c r="J17" s="163"/>
      <c r="K17" s="164"/>
      <c r="L17" s="96"/>
      <c r="N17" s="133"/>
      <c r="O17" s="178" t="s">
        <v>74</v>
      </c>
      <c r="P17" s="179"/>
      <c r="Q17" s="180"/>
      <c r="R17" s="137">
        <v>100000</v>
      </c>
      <c r="T17" s="60"/>
      <c r="U17" s="175" t="s">
        <v>80</v>
      </c>
      <c r="V17" s="176"/>
      <c r="W17" s="177"/>
      <c r="X17" s="127">
        <v>80</v>
      </c>
      <c r="Z17" s="60"/>
      <c r="AA17" s="175" t="s">
        <v>88</v>
      </c>
      <c r="AB17" s="176"/>
      <c r="AC17" s="177"/>
      <c r="AD17" s="121">
        <v>69</v>
      </c>
      <c r="AF17" s="171" t="s">
        <v>63</v>
      </c>
      <c r="AG17" s="163"/>
      <c r="AH17" s="163"/>
      <c r="AI17" s="164"/>
      <c r="AJ17" s="107">
        <v>600</v>
      </c>
      <c r="AL17" s="60"/>
      <c r="AM17" s="162"/>
      <c r="AN17" s="163"/>
      <c r="AO17" s="164"/>
      <c r="AP17" s="107"/>
    </row>
    <row r="18" spans="2:42" ht="17.25" customHeight="1" thickBot="1">
      <c r="B18" s="60"/>
      <c r="C18" s="162" t="s">
        <v>62</v>
      </c>
      <c r="D18" s="163"/>
      <c r="E18" s="164"/>
      <c r="F18" s="89">
        <v>40</v>
      </c>
      <c r="H18" s="60"/>
      <c r="I18" s="162"/>
      <c r="J18" s="163"/>
      <c r="K18" s="164"/>
      <c r="L18" s="96"/>
      <c r="N18" s="135"/>
      <c r="O18" s="181" t="s">
        <v>76</v>
      </c>
      <c r="P18" s="182"/>
      <c r="Q18" s="183"/>
      <c r="R18" s="140">
        <v>20000</v>
      </c>
      <c r="T18" s="60"/>
      <c r="U18" s="175" t="s">
        <v>78</v>
      </c>
      <c r="V18" s="176"/>
      <c r="W18" s="177"/>
      <c r="X18" s="127">
        <v>40</v>
      </c>
      <c r="Z18" s="60"/>
      <c r="AA18" s="175" t="s">
        <v>89</v>
      </c>
      <c r="AB18" s="176"/>
      <c r="AC18" s="177"/>
      <c r="AD18" s="121">
        <v>83</v>
      </c>
      <c r="AF18" s="171" t="s">
        <v>100</v>
      </c>
      <c r="AG18" s="163"/>
      <c r="AH18" s="163"/>
      <c r="AI18" s="164"/>
      <c r="AJ18" s="113" t="s">
        <v>110</v>
      </c>
      <c r="AL18" s="171" t="s">
        <v>120</v>
      </c>
      <c r="AM18" s="163"/>
      <c r="AN18" s="163"/>
      <c r="AO18" s="164"/>
      <c r="AP18" s="113" t="s">
        <v>129</v>
      </c>
    </row>
    <row r="19" spans="2:42" ht="17.25" customHeight="1">
      <c r="B19" s="60"/>
      <c r="C19" s="162" t="s">
        <v>64</v>
      </c>
      <c r="D19" s="163"/>
      <c r="E19" s="164"/>
      <c r="F19" s="89">
        <v>600</v>
      </c>
      <c r="H19" s="60"/>
      <c r="I19" s="162"/>
      <c r="J19" s="163"/>
      <c r="K19" s="164"/>
      <c r="L19" s="96"/>
      <c r="N19" s="118"/>
      <c r="O19" s="172" t="s">
        <v>77</v>
      </c>
      <c r="P19" s="173"/>
      <c r="Q19" s="174"/>
      <c r="R19" s="99">
        <v>118</v>
      </c>
      <c r="T19" s="60"/>
      <c r="U19" s="162" t="s">
        <v>63</v>
      </c>
      <c r="V19" s="163"/>
      <c r="W19" s="164"/>
      <c r="X19" s="102">
        <v>600</v>
      </c>
      <c r="Z19" s="60"/>
      <c r="AA19" s="175" t="s">
        <v>90</v>
      </c>
      <c r="AB19" s="176"/>
      <c r="AC19" s="177"/>
      <c r="AD19" s="121">
        <v>97</v>
      </c>
      <c r="AF19" s="171" t="s">
        <v>101</v>
      </c>
      <c r="AG19" s="163"/>
      <c r="AH19" s="163"/>
      <c r="AI19" s="164"/>
      <c r="AJ19" s="113" t="s">
        <v>111</v>
      </c>
      <c r="AL19" s="171" t="s">
        <v>121</v>
      </c>
      <c r="AM19" s="163"/>
      <c r="AN19" s="163"/>
      <c r="AO19" s="164"/>
      <c r="AP19" s="113" t="s">
        <v>130</v>
      </c>
    </row>
    <row r="20" spans="2:42" ht="17.25" customHeight="1">
      <c r="B20" s="60"/>
      <c r="C20" s="162"/>
      <c r="D20" s="163"/>
      <c r="E20" s="164"/>
      <c r="F20" s="89"/>
      <c r="H20" s="60"/>
      <c r="I20" s="162"/>
      <c r="J20" s="163"/>
      <c r="K20" s="164"/>
      <c r="L20" s="96"/>
      <c r="N20" s="60"/>
      <c r="O20" s="162"/>
      <c r="P20" s="163"/>
      <c r="Q20" s="164"/>
      <c r="R20" s="100"/>
      <c r="T20" s="60"/>
      <c r="U20" s="162"/>
      <c r="V20" s="163"/>
      <c r="W20" s="164"/>
      <c r="X20" s="102"/>
      <c r="Z20" s="60"/>
      <c r="AA20" s="175" t="s">
        <v>91</v>
      </c>
      <c r="AB20" s="176"/>
      <c r="AC20" s="177"/>
      <c r="AD20" s="121">
        <v>110</v>
      </c>
      <c r="AF20" s="171" t="s">
        <v>102</v>
      </c>
      <c r="AG20" s="163"/>
      <c r="AH20" s="163"/>
      <c r="AI20" s="164"/>
      <c r="AJ20" s="113" t="s">
        <v>112</v>
      </c>
      <c r="AL20" s="171" t="s">
        <v>122</v>
      </c>
      <c r="AM20" s="163"/>
      <c r="AN20" s="163"/>
      <c r="AO20" s="164"/>
      <c r="AP20" s="113" t="s">
        <v>131</v>
      </c>
    </row>
    <row r="21" spans="2:42" ht="17.25" customHeight="1">
      <c r="B21" s="60"/>
      <c r="C21" s="162"/>
      <c r="D21" s="163"/>
      <c r="E21" s="164"/>
      <c r="F21" s="89"/>
      <c r="H21" s="60"/>
      <c r="I21" s="162"/>
      <c r="J21" s="163"/>
      <c r="K21" s="164"/>
      <c r="L21" s="96"/>
      <c r="N21" s="60"/>
      <c r="O21" s="162"/>
      <c r="P21" s="163"/>
      <c r="Q21" s="164"/>
      <c r="R21" s="100"/>
      <c r="T21" s="60"/>
      <c r="U21" s="162"/>
      <c r="V21" s="163"/>
      <c r="W21" s="164"/>
      <c r="X21" s="102"/>
      <c r="Z21" s="60"/>
      <c r="AA21" s="175" t="s">
        <v>92</v>
      </c>
      <c r="AB21" s="176"/>
      <c r="AC21" s="177"/>
      <c r="AD21" s="121">
        <v>124</v>
      </c>
      <c r="AF21" s="171" t="s">
        <v>103</v>
      </c>
      <c r="AG21" s="163"/>
      <c r="AH21" s="163"/>
      <c r="AI21" s="164"/>
      <c r="AJ21" s="113" t="s">
        <v>113</v>
      </c>
      <c r="AL21" s="171" t="s">
        <v>123</v>
      </c>
      <c r="AM21" s="163"/>
      <c r="AN21" s="163"/>
      <c r="AO21" s="164"/>
      <c r="AP21" s="113" t="s">
        <v>132</v>
      </c>
    </row>
    <row r="22" spans="2:42" ht="17.25" customHeight="1">
      <c r="B22" s="60"/>
      <c r="C22" s="162"/>
      <c r="D22" s="163"/>
      <c r="E22" s="164"/>
      <c r="F22" s="89"/>
      <c r="H22" s="60"/>
      <c r="I22" s="162"/>
      <c r="J22" s="163"/>
      <c r="K22" s="164"/>
      <c r="L22" s="96"/>
      <c r="N22" s="60"/>
      <c r="O22" s="162"/>
      <c r="P22" s="163"/>
      <c r="Q22" s="164"/>
      <c r="R22" s="100"/>
      <c r="T22" s="60"/>
      <c r="U22" s="162"/>
      <c r="V22" s="163"/>
      <c r="W22" s="164"/>
      <c r="X22" s="102"/>
      <c r="Z22" s="60"/>
      <c r="AA22" s="175" t="s">
        <v>93</v>
      </c>
      <c r="AB22" s="176"/>
      <c r="AC22" s="177"/>
      <c r="AD22" s="121">
        <v>138</v>
      </c>
      <c r="AF22" s="171" t="s">
        <v>104</v>
      </c>
      <c r="AG22" s="163"/>
      <c r="AH22" s="163"/>
      <c r="AI22" s="164"/>
      <c r="AJ22" s="113" t="s">
        <v>114</v>
      </c>
      <c r="AL22" s="171" t="s">
        <v>124</v>
      </c>
      <c r="AM22" s="163"/>
      <c r="AN22" s="163"/>
      <c r="AO22" s="164"/>
      <c r="AP22" s="113" t="s">
        <v>133</v>
      </c>
    </row>
    <row r="23" spans="2:42" ht="17.25" customHeight="1">
      <c r="B23" s="60"/>
      <c r="C23" s="162"/>
      <c r="D23" s="163"/>
      <c r="E23" s="164"/>
      <c r="F23" s="89"/>
      <c r="H23" s="60"/>
      <c r="I23" s="162"/>
      <c r="J23" s="163"/>
      <c r="K23" s="164"/>
      <c r="L23" s="96"/>
      <c r="N23" s="60"/>
      <c r="O23" s="162"/>
      <c r="P23" s="163"/>
      <c r="Q23" s="164"/>
      <c r="R23" s="100"/>
      <c r="T23" s="60"/>
      <c r="U23" s="162"/>
      <c r="V23" s="163"/>
      <c r="W23" s="164"/>
      <c r="X23" s="102"/>
      <c r="Z23" s="60"/>
      <c r="AA23" s="175" t="s">
        <v>94</v>
      </c>
      <c r="AB23" s="176"/>
      <c r="AC23" s="177"/>
      <c r="AD23" s="121">
        <v>166</v>
      </c>
      <c r="AF23" s="171" t="s">
        <v>105</v>
      </c>
      <c r="AG23" s="163"/>
      <c r="AH23" s="163"/>
      <c r="AI23" s="164"/>
      <c r="AJ23" s="113" t="s">
        <v>115</v>
      </c>
      <c r="AL23" s="171" t="s">
        <v>125</v>
      </c>
      <c r="AM23" s="163"/>
      <c r="AN23" s="163"/>
      <c r="AO23" s="164"/>
      <c r="AP23" s="113" t="s">
        <v>134</v>
      </c>
    </row>
    <row r="24" spans="2:42" ht="17.25" customHeight="1">
      <c r="B24" s="60"/>
      <c r="C24" s="162"/>
      <c r="D24" s="163"/>
      <c r="E24" s="164"/>
      <c r="F24" s="89"/>
      <c r="H24" s="60"/>
      <c r="I24" s="162"/>
      <c r="J24" s="163"/>
      <c r="K24" s="164"/>
      <c r="L24" s="96"/>
      <c r="N24" s="60"/>
      <c r="O24" s="162"/>
      <c r="P24" s="163"/>
      <c r="Q24" s="164"/>
      <c r="R24" s="100"/>
      <c r="T24" s="60"/>
      <c r="U24" s="162"/>
      <c r="V24" s="163"/>
      <c r="W24" s="164"/>
      <c r="X24" s="102"/>
      <c r="Z24" s="60"/>
      <c r="AA24" s="175" t="s">
        <v>95</v>
      </c>
      <c r="AB24" s="176"/>
      <c r="AC24" s="177"/>
      <c r="AD24" s="121">
        <v>207</v>
      </c>
      <c r="AF24" s="171" t="s">
        <v>106</v>
      </c>
      <c r="AG24" s="163"/>
      <c r="AH24" s="163"/>
      <c r="AI24" s="164"/>
      <c r="AJ24" s="113" t="s">
        <v>116</v>
      </c>
      <c r="AL24" s="171" t="s">
        <v>126</v>
      </c>
      <c r="AM24" s="163"/>
      <c r="AN24" s="163"/>
      <c r="AO24" s="164"/>
      <c r="AP24" s="113" t="s">
        <v>135</v>
      </c>
    </row>
    <row r="25" spans="2:42" ht="17.25" customHeight="1" thickBot="1">
      <c r="B25" s="60"/>
      <c r="C25" s="162"/>
      <c r="D25" s="163"/>
      <c r="E25" s="164"/>
      <c r="F25" s="89"/>
      <c r="H25" s="60"/>
      <c r="I25" s="162"/>
      <c r="J25" s="163"/>
      <c r="K25" s="164"/>
      <c r="L25" s="96"/>
      <c r="N25" s="60"/>
      <c r="O25" s="162"/>
      <c r="P25" s="163"/>
      <c r="Q25" s="164"/>
      <c r="R25" s="100"/>
      <c r="T25" s="60"/>
      <c r="U25" s="162"/>
      <c r="V25" s="163"/>
      <c r="W25" s="164"/>
      <c r="X25" s="102"/>
      <c r="Z25" s="114"/>
      <c r="AA25" s="168" t="s">
        <v>96</v>
      </c>
      <c r="AB25" s="169"/>
      <c r="AC25" s="170"/>
      <c r="AD25" s="122">
        <v>253</v>
      </c>
      <c r="AF25" s="171" t="s">
        <v>107</v>
      </c>
      <c r="AG25" s="163"/>
      <c r="AH25" s="163"/>
      <c r="AI25" s="164"/>
      <c r="AJ25" s="113" t="s">
        <v>117</v>
      </c>
      <c r="AL25" s="171" t="s">
        <v>127</v>
      </c>
      <c r="AM25" s="163"/>
      <c r="AN25" s="163"/>
      <c r="AO25" s="164"/>
      <c r="AP25" s="113" t="s">
        <v>136</v>
      </c>
    </row>
    <row r="26" spans="2:42" ht="17.25" customHeight="1">
      <c r="B26" s="60"/>
      <c r="C26" s="162"/>
      <c r="D26" s="163"/>
      <c r="E26" s="164"/>
      <c r="F26" s="89"/>
      <c r="H26" s="60"/>
      <c r="I26" s="162"/>
      <c r="J26" s="163"/>
      <c r="K26" s="164"/>
      <c r="L26" s="96"/>
      <c r="N26" s="60"/>
      <c r="O26" s="162"/>
      <c r="P26" s="163"/>
      <c r="Q26" s="164"/>
      <c r="R26" s="100"/>
      <c r="T26" s="60"/>
      <c r="U26" s="162"/>
      <c r="V26" s="163"/>
      <c r="W26" s="164"/>
      <c r="X26" s="102"/>
      <c r="Z26" s="118"/>
      <c r="AA26" s="172" t="s">
        <v>63</v>
      </c>
      <c r="AB26" s="173"/>
      <c r="AC26" s="174"/>
      <c r="AD26" s="104">
        <v>600</v>
      </c>
      <c r="AF26" s="171" t="s">
        <v>108</v>
      </c>
      <c r="AG26" s="163"/>
      <c r="AH26" s="163"/>
      <c r="AI26" s="164"/>
      <c r="AJ26" s="113" t="s">
        <v>118</v>
      </c>
      <c r="AL26" s="171" t="s">
        <v>128</v>
      </c>
      <c r="AM26" s="163"/>
      <c r="AN26" s="163"/>
      <c r="AO26" s="164"/>
      <c r="AP26" s="113" t="s">
        <v>137</v>
      </c>
    </row>
    <row r="27" spans="2:42" ht="17.25" customHeight="1">
      <c r="B27" s="60"/>
      <c r="C27" s="162"/>
      <c r="D27" s="163"/>
      <c r="E27" s="164"/>
      <c r="F27" s="89"/>
      <c r="H27" s="60"/>
      <c r="I27" s="162"/>
      <c r="J27" s="163"/>
      <c r="K27" s="164"/>
      <c r="L27" s="96"/>
      <c r="N27" s="60"/>
      <c r="O27" s="162"/>
      <c r="P27" s="163"/>
      <c r="Q27" s="164"/>
      <c r="R27" s="100"/>
      <c r="T27" s="60"/>
      <c r="U27" s="162"/>
      <c r="V27" s="163"/>
      <c r="W27" s="164"/>
      <c r="X27" s="102"/>
      <c r="Z27" s="60"/>
      <c r="AA27" s="162" t="s">
        <v>97</v>
      </c>
      <c r="AB27" s="163"/>
      <c r="AC27" s="164"/>
      <c r="AD27" s="105">
        <v>20000</v>
      </c>
      <c r="AF27" s="165" t="s">
        <v>109</v>
      </c>
      <c r="AG27" s="166"/>
      <c r="AH27" s="166"/>
      <c r="AI27" s="166"/>
      <c r="AJ27" s="167"/>
      <c r="AL27" s="60"/>
      <c r="AM27" s="57"/>
      <c r="AN27" s="98"/>
      <c r="AO27" s="59"/>
      <c r="AP27" s="107"/>
    </row>
    <row r="28" spans="2:42" ht="17.25" customHeight="1">
      <c r="B28" s="60"/>
      <c r="C28" s="162"/>
      <c r="D28" s="163"/>
      <c r="E28" s="164"/>
      <c r="F28" s="89"/>
      <c r="H28" s="60"/>
      <c r="I28" s="162"/>
      <c r="J28" s="163"/>
      <c r="K28" s="164"/>
      <c r="L28" s="96"/>
      <c r="N28" s="60"/>
      <c r="O28" s="162"/>
      <c r="P28" s="163"/>
      <c r="Q28" s="164"/>
      <c r="R28" s="100"/>
      <c r="T28" s="60"/>
      <c r="U28" s="162"/>
      <c r="V28" s="163"/>
      <c r="W28" s="164"/>
      <c r="X28" s="102"/>
      <c r="Z28" s="60"/>
      <c r="AA28" s="162" t="s">
        <v>119</v>
      </c>
      <c r="AB28" s="163"/>
      <c r="AC28" s="164"/>
      <c r="AD28" s="105">
        <v>4</v>
      </c>
      <c r="AF28" s="60"/>
      <c r="AG28" s="57"/>
      <c r="AH28" s="98"/>
      <c r="AI28" s="59"/>
      <c r="AJ28" s="107"/>
      <c r="AL28" s="60"/>
      <c r="AM28" s="57"/>
      <c r="AN28" s="98"/>
      <c r="AO28" s="59"/>
      <c r="AP28" s="107"/>
    </row>
    <row r="29" spans="2:42" ht="17.25" customHeight="1" thickBot="1">
      <c r="B29" s="64"/>
      <c r="C29" s="159"/>
      <c r="D29" s="160"/>
      <c r="E29" s="161"/>
      <c r="F29" s="90"/>
      <c r="H29" s="64"/>
      <c r="I29" s="159"/>
      <c r="J29" s="160"/>
      <c r="K29" s="161"/>
      <c r="L29" s="97"/>
      <c r="N29" s="64"/>
      <c r="O29" s="159"/>
      <c r="P29" s="160"/>
      <c r="Q29" s="161"/>
      <c r="R29" s="101"/>
      <c r="T29" s="64"/>
      <c r="U29" s="159"/>
      <c r="V29" s="160"/>
      <c r="W29" s="161"/>
      <c r="X29" s="103"/>
      <c r="Z29" s="64"/>
      <c r="AA29" s="159" t="s">
        <v>98</v>
      </c>
      <c r="AB29" s="160"/>
      <c r="AC29" s="161"/>
      <c r="AD29" s="106">
        <v>20000</v>
      </c>
      <c r="AF29" s="64"/>
      <c r="AG29" s="159"/>
      <c r="AH29" s="160"/>
      <c r="AI29" s="161"/>
      <c r="AJ29" s="108"/>
      <c r="AL29" s="114"/>
      <c r="AM29" s="159"/>
      <c r="AN29" s="160"/>
      <c r="AO29" s="161"/>
      <c r="AP29" s="115"/>
    </row>
    <row r="30" spans="2:42" ht="6.75" customHeight="1" thickBot="1"/>
    <row r="31" spans="2:42" ht="33" hidden="1" customHeight="1">
      <c r="B31" s="237" t="s">
        <v>0</v>
      </c>
      <c r="C31" s="237"/>
      <c r="D31" s="237"/>
      <c r="E31" s="237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  <c r="AA31" s="237"/>
      <c r="AB31" s="237"/>
      <c r="AC31" s="237"/>
      <c r="AD31" s="237"/>
      <c r="AE31" s="237"/>
      <c r="AF31" s="237"/>
      <c r="AG31" s="237"/>
      <c r="AH31" s="237"/>
      <c r="AI31" s="237"/>
      <c r="AJ31" s="237"/>
      <c r="AK31" s="237"/>
      <c r="AL31" s="237"/>
      <c r="AM31" s="237"/>
      <c r="AN31" s="237"/>
      <c r="AO31" s="237"/>
      <c r="AP31" s="237"/>
    </row>
    <row r="32" spans="2:42" ht="9" hidden="1" customHeight="1" thickBot="1">
      <c r="B32" s="5"/>
      <c r="C32" s="6"/>
      <c r="D32" s="7"/>
      <c r="E32" s="6"/>
      <c r="F32" s="8"/>
      <c r="G32" s="9"/>
      <c r="H32" s="5"/>
      <c r="I32" s="6"/>
      <c r="J32" s="7"/>
      <c r="K32" s="6"/>
      <c r="L32" s="8"/>
      <c r="M32" s="9"/>
      <c r="N32" s="5"/>
      <c r="O32" s="6"/>
      <c r="P32" s="7"/>
      <c r="Q32" s="6"/>
      <c r="R32" s="8"/>
      <c r="S32" s="9"/>
      <c r="T32" s="5"/>
      <c r="U32" s="6"/>
      <c r="V32" s="7"/>
      <c r="W32" s="6"/>
      <c r="X32" s="8"/>
      <c r="Y32" s="9"/>
      <c r="Z32" s="5"/>
      <c r="AA32" s="6"/>
      <c r="AB32" s="7"/>
      <c r="AC32" s="6"/>
      <c r="AD32" s="8"/>
      <c r="AE32" s="9"/>
      <c r="AF32" s="5"/>
      <c r="AG32" s="6"/>
      <c r="AH32" s="7"/>
      <c r="AI32" s="6"/>
      <c r="AJ32" s="8"/>
      <c r="AK32" s="9"/>
      <c r="AL32" s="5"/>
      <c r="AM32" s="6"/>
      <c r="AN32" s="7"/>
      <c r="AO32" s="6"/>
      <c r="AP32" s="8"/>
    </row>
    <row r="33" spans="2:42" s="21" customFormat="1" ht="25.5" customHeight="1" thickBot="1">
      <c r="B33" s="238" t="s">
        <v>1</v>
      </c>
      <c r="C33" s="239"/>
      <c r="D33" s="239"/>
      <c r="E33" s="240"/>
      <c r="F33" s="20" t="s">
        <v>2</v>
      </c>
      <c r="H33" s="241" t="s">
        <v>3</v>
      </c>
      <c r="I33" s="242"/>
      <c r="J33" s="242"/>
      <c r="K33" s="243"/>
      <c r="L33" s="22" t="s">
        <v>4</v>
      </c>
      <c r="N33" s="244" t="s">
        <v>5</v>
      </c>
      <c r="O33" s="245"/>
      <c r="P33" s="245"/>
      <c r="Q33" s="246"/>
      <c r="R33" s="23" t="s">
        <v>6</v>
      </c>
      <c r="T33" s="247" t="s">
        <v>7</v>
      </c>
      <c r="U33" s="248"/>
      <c r="V33" s="248"/>
      <c r="W33" s="249"/>
      <c r="X33" s="24" t="s">
        <v>8</v>
      </c>
      <c r="Z33" s="250" t="s">
        <v>9</v>
      </c>
      <c r="AA33" s="251"/>
      <c r="AB33" s="251"/>
      <c r="AC33" s="252"/>
      <c r="AD33" s="25" t="s">
        <v>10</v>
      </c>
      <c r="AF33" s="253" t="s">
        <v>11</v>
      </c>
      <c r="AG33" s="254"/>
      <c r="AH33" s="254"/>
      <c r="AI33" s="255"/>
      <c r="AJ33" s="110" t="s">
        <v>12</v>
      </c>
      <c r="AL33" s="256" t="s">
        <v>13</v>
      </c>
      <c r="AM33" s="257"/>
      <c r="AN33" s="257"/>
      <c r="AO33" s="258"/>
      <c r="AP33" s="109" t="s">
        <v>14</v>
      </c>
    </row>
    <row r="34" spans="2:42" ht="15" customHeight="1">
      <c r="B34" s="262"/>
      <c r="C34" s="263"/>
      <c r="D34" s="263"/>
      <c r="E34" s="264"/>
      <c r="F34" s="235">
        <v>10</v>
      </c>
      <c r="H34" s="262" t="s">
        <v>142</v>
      </c>
      <c r="I34" s="263"/>
      <c r="J34" s="263"/>
      <c r="K34" s="264"/>
      <c r="L34" s="231">
        <f>F34+1</f>
        <v>11</v>
      </c>
      <c r="N34" s="262"/>
      <c r="O34" s="263"/>
      <c r="P34" s="263"/>
      <c r="Q34" s="264"/>
      <c r="R34" s="233">
        <f>L34+1</f>
        <v>12</v>
      </c>
      <c r="T34" s="262"/>
      <c r="U34" s="263"/>
      <c r="V34" s="263"/>
      <c r="W34" s="264"/>
      <c r="X34" s="259">
        <f>R34+1</f>
        <v>13</v>
      </c>
      <c r="Z34" s="262"/>
      <c r="AA34" s="263"/>
      <c r="AB34" s="263"/>
      <c r="AC34" s="264"/>
      <c r="AD34" s="221">
        <f>X34+1</f>
        <v>14</v>
      </c>
      <c r="AF34" s="262"/>
      <c r="AG34" s="263"/>
      <c r="AH34" s="263"/>
      <c r="AI34" s="264"/>
      <c r="AJ34" s="270">
        <f>AD34+1</f>
        <v>15</v>
      </c>
      <c r="AL34" s="262"/>
      <c r="AM34" s="263"/>
      <c r="AN34" s="263"/>
      <c r="AO34" s="264"/>
      <c r="AP34" s="268">
        <f>AJ34+1</f>
        <v>16</v>
      </c>
    </row>
    <row r="35" spans="2:42" ht="15" customHeight="1" thickBot="1">
      <c r="B35" s="265"/>
      <c r="C35" s="266"/>
      <c r="D35" s="266"/>
      <c r="E35" s="267"/>
      <c r="F35" s="236"/>
      <c r="H35" s="265"/>
      <c r="I35" s="266"/>
      <c r="J35" s="266"/>
      <c r="K35" s="267"/>
      <c r="L35" s="232"/>
      <c r="N35" s="265"/>
      <c r="O35" s="266"/>
      <c r="P35" s="266"/>
      <c r="Q35" s="267"/>
      <c r="R35" s="234"/>
      <c r="T35" s="265"/>
      <c r="U35" s="266"/>
      <c r="V35" s="266"/>
      <c r="W35" s="267"/>
      <c r="X35" s="260"/>
      <c r="Z35" s="265"/>
      <c r="AA35" s="266"/>
      <c r="AB35" s="266"/>
      <c r="AC35" s="267"/>
      <c r="AD35" s="222"/>
      <c r="AF35" s="265"/>
      <c r="AG35" s="266"/>
      <c r="AH35" s="266"/>
      <c r="AI35" s="267"/>
      <c r="AJ35" s="271"/>
      <c r="AL35" s="265"/>
      <c r="AM35" s="266"/>
      <c r="AN35" s="266"/>
      <c r="AO35" s="267"/>
      <c r="AP35" s="269"/>
    </row>
    <row r="36" spans="2:42" ht="17.25" customHeight="1" thickBot="1">
      <c r="B36" s="208" t="s">
        <v>16</v>
      </c>
      <c r="C36" s="209"/>
      <c r="D36" s="209"/>
      <c r="E36" s="210"/>
      <c r="F36" s="28" t="s">
        <v>17</v>
      </c>
      <c r="H36" s="208" t="s">
        <v>16</v>
      </c>
      <c r="I36" s="209"/>
      <c r="J36" s="209"/>
      <c r="K36" s="210"/>
      <c r="L36" s="29" t="s">
        <v>17</v>
      </c>
      <c r="N36" s="208" t="s">
        <v>16</v>
      </c>
      <c r="O36" s="209"/>
      <c r="P36" s="209"/>
      <c r="Q36" s="210"/>
      <c r="R36" s="30" t="s">
        <v>17</v>
      </c>
      <c r="T36" s="208" t="s">
        <v>16</v>
      </c>
      <c r="U36" s="209"/>
      <c r="V36" s="209"/>
      <c r="W36" s="210"/>
      <c r="X36" s="31" t="s">
        <v>17</v>
      </c>
      <c r="Z36" s="208" t="s">
        <v>16</v>
      </c>
      <c r="AA36" s="209"/>
      <c r="AB36" s="209"/>
      <c r="AC36" s="210"/>
      <c r="AD36" s="32" t="s">
        <v>17</v>
      </c>
      <c r="AF36" s="208" t="s">
        <v>16</v>
      </c>
      <c r="AG36" s="209"/>
      <c r="AH36" s="209"/>
      <c r="AI36" s="210"/>
      <c r="AJ36" s="33" t="s">
        <v>17</v>
      </c>
      <c r="AL36" s="208" t="s">
        <v>16</v>
      </c>
      <c r="AM36" s="209"/>
      <c r="AN36" s="209"/>
      <c r="AO36" s="210"/>
      <c r="AP36" s="34" t="s">
        <v>17</v>
      </c>
    </row>
    <row r="37" spans="2:42" ht="18.75" customHeight="1">
      <c r="B37" s="35" t="s">
        <v>18</v>
      </c>
      <c r="C37" s="36">
        <v>1.4583333333333299</v>
      </c>
      <c r="D37" s="37" t="s">
        <v>19</v>
      </c>
      <c r="E37" s="38">
        <v>1.6243055555555554</v>
      </c>
      <c r="F37" s="39" t="s">
        <v>20</v>
      </c>
      <c r="H37" s="35" t="s">
        <v>18</v>
      </c>
      <c r="I37" s="36">
        <v>1.4583333333333299</v>
      </c>
      <c r="J37" s="37" t="s">
        <v>19</v>
      </c>
      <c r="K37" s="38">
        <v>1.6243055555555554</v>
      </c>
      <c r="L37" s="40" t="s">
        <v>21</v>
      </c>
      <c r="N37" s="35" t="s">
        <v>18</v>
      </c>
      <c r="O37" s="36">
        <v>1.4583333333333299</v>
      </c>
      <c r="P37" s="37" t="s">
        <v>19</v>
      </c>
      <c r="Q37" s="38">
        <v>1.6243055555555554</v>
      </c>
      <c r="R37" s="41" t="s">
        <v>22</v>
      </c>
      <c r="T37" s="35" t="s">
        <v>18</v>
      </c>
      <c r="U37" s="36">
        <v>1.4583333333333299</v>
      </c>
      <c r="V37" s="37" t="s">
        <v>19</v>
      </c>
      <c r="W37" s="38">
        <v>1.6243055555555554</v>
      </c>
      <c r="X37" s="42" t="s">
        <v>24</v>
      </c>
      <c r="Z37" s="35" t="s">
        <v>18</v>
      </c>
      <c r="AA37" s="36">
        <v>1.4583333333333299</v>
      </c>
      <c r="AB37" s="37" t="s">
        <v>19</v>
      </c>
      <c r="AC37" s="38">
        <v>1.6243055555555554</v>
      </c>
      <c r="AD37" s="43" t="s">
        <v>25</v>
      </c>
      <c r="AF37" s="35" t="s">
        <v>18</v>
      </c>
      <c r="AG37" s="36">
        <v>1.4583333333333299</v>
      </c>
      <c r="AH37" s="37" t="s">
        <v>19</v>
      </c>
      <c r="AI37" s="38">
        <v>1.6243055555555554</v>
      </c>
      <c r="AJ37" s="44" t="s">
        <v>20</v>
      </c>
      <c r="AL37" s="35" t="s">
        <v>18</v>
      </c>
      <c r="AM37" s="36">
        <v>1.4583333333333299</v>
      </c>
      <c r="AN37" s="37" t="s">
        <v>19</v>
      </c>
      <c r="AO37" s="38">
        <v>1.6243055555555554</v>
      </c>
      <c r="AP37" s="45" t="s">
        <v>21</v>
      </c>
    </row>
    <row r="38" spans="2:42" ht="18.75" customHeight="1">
      <c r="B38" s="46" t="s">
        <v>26</v>
      </c>
      <c r="C38" s="47">
        <v>1.625</v>
      </c>
      <c r="D38" s="48" t="s">
        <v>19</v>
      </c>
      <c r="E38" s="49">
        <v>1.7909722222222224</v>
      </c>
      <c r="F38" s="50" t="s">
        <v>21</v>
      </c>
      <c r="H38" s="46" t="s">
        <v>26</v>
      </c>
      <c r="I38" s="47">
        <v>1.625</v>
      </c>
      <c r="J38" s="48" t="s">
        <v>19</v>
      </c>
      <c r="K38" s="49">
        <v>1.7909722222222224</v>
      </c>
      <c r="L38" s="51" t="s">
        <v>22</v>
      </c>
      <c r="N38" s="46" t="s">
        <v>26</v>
      </c>
      <c r="O38" s="47">
        <v>1.625</v>
      </c>
      <c r="P38" s="48" t="s">
        <v>19</v>
      </c>
      <c r="Q38" s="49">
        <v>1.7909722222222224</v>
      </c>
      <c r="R38" s="52" t="s">
        <v>24</v>
      </c>
      <c r="T38" s="46" t="s">
        <v>26</v>
      </c>
      <c r="U38" s="47">
        <v>1.625</v>
      </c>
      <c r="V38" s="48" t="s">
        <v>19</v>
      </c>
      <c r="W38" s="49">
        <v>1.7909722222222224</v>
      </c>
      <c r="X38" s="53" t="s">
        <v>25</v>
      </c>
      <c r="Z38" s="46" t="s">
        <v>26</v>
      </c>
      <c r="AA38" s="47">
        <v>1.625</v>
      </c>
      <c r="AB38" s="48" t="s">
        <v>19</v>
      </c>
      <c r="AC38" s="49">
        <v>1.7909722222222224</v>
      </c>
      <c r="AD38" s="54" t="s">
        <v>20</v>
      </c>
      <c r="AF38" s="46" t="s">
        <v>26</v>
      </c>
      <c r="AG38" s="47">
        <v>1.625</v>
      </c>
      <c r="AH38" s="48" t="s">
        <v>19</v>
      </c>
      <c r="AI38" s="49">
        <v>1.7909722222222224</v>
      </c>
      <c r="AJ38" s="55" t="s">
        <v>21</v>
      </c>
      <c r="AL38" s="46" t="s">
        <v>26</v>
      </c>
      <c r="AM38" s="47">
        <v>1.625</v>
      </c>
      <c r="AN38" s="48" t="s">
        <v>19</v>
      </c>
      <c r="AO38" s="49">
        <v>1.7909722222222224</v>
      </c>
      <c r="AP38" s="56" t="s">
        <v>22</v>
      </c>
    </row>
    <row r="39" spans="2:42" ht="18.75" customHeight="1">
      <c r="B39" s="46" t="s">
        <v>28</v>
      </c>
      <c r="C39" s="57">
        <v>1.7916666666666701</v>
      </c>
      <c r="D39" s="58" t="s">
        <v>19</v>
      </c>
      <c r="E39" s="59">
        <v>1.9576388888888889</v>
      </c>
      <c r="F39" s="50" t="s">
        <v>22</v>
      </c>
      <c r="H39" s="46" t="s">
        <v>28</v>
      </c>
      <c r="I39" s="57">
        <v>1.7916666666666701</v>
      </c>
      <c r="J39" s="58" t="s">
        <v>19</v>
      </c>
      <c r="K39" s="59">
        <v>1.9576388888888889</v>
      </c>
      <c r="L39" s="51" t="s">
        <v>24</v>
      </c>
      <c r="N39" s="46" t="s">
        <v>28</v>
      </c>
      <c r="O39" s="57">
        <v>1.7916666666666701</v>
      </c>
      <c r="P39" s="58" t="s">
        <v>19</v>
      </c>
      <c r="Q39" s="59">
        <v>1.9576388888888889</v>
      </c>
      <c r="R39" s="52" t="s">
        <v>25</v>
      </c>
      <c r="T39" s="46" t="s">
        <v>28</v>
      </c>
      <c r="U39" s="57">
        <v>1.7916666666666701</v>
      </c>
      <c r="V39" s="58" t="s">
        <v>19</v>
      </c>
      <c r="W39" s="59">
        <v>1.9576388888888889</v>
      </c>
      <c r="X39" s="53" t="s">
        <v>20</v>
      </c>
      <c r="Z39" s="46" t="s">
        <v>28</v>
      </c>
      <c r="AA39" s="57">
        <v>1.7916666666666701</v>
      </c>
      <c r="AB39" s="58" t="s">
        <v>19</v>
      </c>
      <c r="AC39" s="59">
        <v>1.9576388888888889</v>
      </c>
      <c r="AD39" s="54" t="s">
        <v>21</v>
      </c>
      <c r="AF39" s="46" t="s">
        <v>28</v>
      </c>
      <c r="AG39" s="57">
        <v>1.7916666666666701</v>
      </c>
      <c r="AH39" s="58" t="s">
        <v>19</v>
      </c>
      <c r="AI39" s="59">
        <v>1.9576388888888889</v>
      </c>
      <c r="AJ39" s="55" t="s">
        <v>22</v>
      </c>
      <c r="AL39" s="46" t="s">
        <v>28</v>
      </c>
      <c r="AM39" s="57">
        <v>1.7916666666666701</v>
      </c>
      <c r="AN39" s="58" t="s">
        <v>19</v>
      </c>
      <c r="AO39" s="59">
        <v>1.9576388888888889</v>
      </c>
      <c r="AP39" s="56" t="s">
        <v>24</v>
      </c>
    </row>
    <row r="40" spans="2:42" ht="18.75" customHeight="1">
      <c r="B40" s="60" t="s">
        <v>30</v>
      </c>
      <c r="C40" s="61">
        <v>1.9583333333333335</v>
      </c>
      <c r="D40" s="62" t="s">
        <v>19</v>
      </c>
      <c r="E40" s="63">
        <v>1.1243055555555554</v>
      </c>
      <c r="F40" s="50" t="s">
        <v>24</v>
      </c>
      <c r="H40" s="152" t="s">
        <v>30</v>
      </c>
      <c r="I40" s="153">
        <v>1.9583333333333335</v>
      </c>
      <c r="J40" s="154" t="s">
        <v>19</v>
      </c>
      <c r="K40" s="155">
        <v>1.1243055555555554</v>
      </c>
      <c r="L40" s="55" t="s">
        <v>25</v>
      </c>
      <c r="N40" s="60" t="s">
        <v>30</v>
      </c>
      <c r="O40" s="61">
        <v>1.9583333333333335</v>
      </c>
      <c r="P40" s="62" t="s">
        <v>19</v>
      </c>
      <c r="Q40" s="63">
        <v>1.1243055555555554</v>
      </c>
      <c r="R40" s="52" t="s">
        <v>20</v>
      </c>
      <c r="T40" s="60" t="s">
        <v>30</v>
      </c>
      <c r="U40" s="61">
        <v>1.9583333333333335</v>
      </c>
      <c r="V40" s="62" t="s">
        <v>19</v>
      </c>
      <c r="W40" s="63">
        <v>1.1243055555555554</v>
      </c>
      <c r="X40" s="53" t="s">
        <v>21</v>
      </c>
      <c r="Z40" s="60" t="s">
        <v>30</v>
      </c>
      <c r="AA40" s="61">
        <v>1.9583333333333335</v>
      </c>
      <c r="AB40" s="62" t="s">
        <v>19</v>
      </c>
      <c r="AC40" s="63">
        <v>1.1243055555555554</v>
      </c>
      <c r="AD40" s="54" t="s">
        <v>22</v>
      </c>
      <c r="AF40" s="60" t="s">
        <v>30</v>
      </c>
      <c r="AG40" s="61">
        <v>1.9583333333333335</v>
      </c>
      <c r="AH40" s="62" t="s">
        <v>19</v>
      </c>
      <c r="AI40" s="63">
        <v>1.1243055555555554</v>
      </c>
      <c r="AJ40" s="55" t="s">
        <v>24</v>
      </c>
      <c r="AL40" s="60" t="s">
        <v>30</v>
      </c>
      <c r="AM40" s="61">
        <v>1.9583333333333335</v>
      </c>
      <c r="AN40" s="62" t="s">
        <v>19</v>
      </c>
      <c r="AO40" s="63">
        <v>1.1243055555555554</v>
      </c>
      <c r="AP40" s="56" t="s">
        <v>25</v>
      </c>
    </row>
    <row r="41" spans="2:42" ht="18.75" customHeight="1">
      <c r="B41" s="60" t="s">
        <v>31</v>
      </c>
      <c r="C41" s="61">
        <v>1.125</v>
      </c>
      <c r="D41" s="62" t="s">
        <v>19</v>
      </c>
      <c r="E41" s="63">
        <v>1.2909722222222222</v>
      </c>
      <c r="F41" s="50" t="s">
        <v>25</v>
      </c>
      <c r="H41" s="60" t="s">
        <v>31</v>
      </c>
      <c r="I41" s="61">
        <v>1.125</v>
      </c>
      <c r="J41" s="62" t="s">
        <v>19</v>
      </c>
      <c r="K41" s="63">
        <v>1.2909722222222222</v>
      </c>
      <c r="L41" s="51" t="s">
        <v>20</v>
      </c>
      <c r="N41" s="60" t="s">
        <v>31</v>
      </c>
      <c r="O41" s="61">
        <v>1.125</v>
      </c>
      <c r="P41" s="62" t="s">
        <v>19</v>
      </c>
      <c r="Q41" s="63">
        <v>1.2909722222222222</v>
      </c>
      <c r="R41" s="52" t="s">
        <v>21</v>
      </c>
      <c r="T41" s="60" t="s">
        <v>31</v>
      </c>
      <c r="U41" s="61">
        <v>1.125</v>
      </c>
      <c r="V41" s="62" t="s">
        <v>19</v>
      </c>
      <c r="W41" s="63">
        <v>1.2909722222222222</v>
      </c>
      <c r="X41" s="53" t="s">
        <v>22</v>
      </c>
      <c r="Z41" s="60" t="s">
        <v>31</v>
      </c>
      <c r="AA41" s="61">
        <v>1.125</v>
      </c>
      <c r="AB41" s="62" t="s">
        <v>19</v>
      </c>
      <c r="AC41" s="63">
        <v>1.2909722222222222</v>
      </c>
      <c r="AD41" s="54" t="s">
        <v>24</v>
      </c>
      <c r="AF41" s="60" t="s">
        <v>31</v>
      </c>
      <c r="AG41" s="61">
        <v>1.125</v>
      </c>
      <c r="AH41" s="62" t="s">
        <v>19</v>
      </c>
      <c r="AI41" s="63">
        <v>1.2909722222222222</v>
      </c>
      <c r="AJ41" s="55" t="s">
        <v>25</v>
      </c>
      <c r="AL41" s="60" t="s">
        <v>31</v>
      </c>
      <c r="AM41" s="61">
        <v>1.125</v>
      </c>
      <c r="AN41" s="62" t="s">
        <v>19</v>
      </c>
      <c r="AO41" s="63">
        <v>1.2909722222222222</v>
      </c>
      <c r="AP41" s="56" t="s">
        <v>20</v>
      </c>
    </row>
    <row r="42" spans="2:42" s="80" customFormat="1" ht="18.75" customHeight="1" thickBot="1">
      <c r="B42" s="75" t="s">
        <v>33</v>
      </c>
      <c r="C42" s="76">
        <v>1.2916666666666667</v>
      </c>
      <c r="D42" s="77" t="s">
        <v>19</v>
      </c>
      <c r="E42" s="78">
        <v>1.4576388888888889</v>
      </c>
      <c r="F42" s="79" t="str">
        <f>F37</f>
        <v>이미고훈련</v>
      </c>
      <c r="H42" s="75" t="s">
        <v>33</v>
      </c>
      <c r="I42" s="76">
        <v>1.2916666666666667</v>
      </c>
      <c r="J42" s="77" t="s">
        <v>19</v>
      </c>
      <c r="K42" s="78">
        <v>1.4576388888888889</v>
      </c>
      <c r="L42" s="81" t="str">
        <f>L37</f>
        <v>기술연구</v>
      </c>
      <c r="N42" s="75" t="s">
        <v>33</v>
      </c>
      <c r="O42" s="76">
        <v>1.2916666666666667</v>
      </c>
      <c r="P42" s="77" t="s">
        <v>19</v>
      </c>
      <c r="Q42" s="78">
        <v>1.4576388888888889</v>
      </c>
      <c r="R42" s="82" t="str">
        <f>R37</f>
        <v>AP소모</v>
      </c>
      <c r="T42" s="75" t="s">
        <v>33</v>
      </c>
      <c r="U42" s="76">
        <v>1.2916666666666667</v>
      </c>
      <c r="V42" s="77" t="s">
        <v>19</v>
      </c>
      <c r="W42" s="78">
        <v>1.4576388888888889</v>
      </c>
      <c r="X42" s="83" t="str">
        <f>X37</f>
        <v>펠몬강화</v>
      </c>
      <c r="Z42" s="75" t="s">
        <v>33</v>
      </c>
      <c r="AA42" s="76">
        <v>1.2916666666666667</v>
      </c>
      <c r="AB42" s="77" t="s">
        <v>19</v>
      </c>
      <c r="AC42" s="78">
        <v>1.4576388888888889</v>
      </c>
      <c r="AD42" s="84" t="str">
        <f>AD37</f>
        <v>건물레벨업</v>
      </c>
      <c r="AF42" s="75" t="s">
        <v>33</v>
      </c>
      <c r="AG42" s="76">
        <v>1.2916666666666667</v>
      </c>
      <c r="AH42" s="77" t="s">
        <v>19</v>
      </c>
      <c r="AI42" s="78">
        <v>1.4576388888888889</v>
      </c>
      <c r="AJ42" s="85" t="str">
        <f>AJ37</f>
        <v>이미고훈련</v>
      </c>
      <c r="AL42" s="75" t="s">
        <v>33</v>
      </c>
      <c r="AM42" s="76">
        <v>1.2916666666666667</v>
      </c>
      <c r="AN42" s="77" t="s">
        <v>19</v>
      </c>
      <c r="AO42" s="78">
        <v>1.4576388888888889</v>
      </c>
      <c r="AP42" s="86" t="str">
        <f>AP37</f>
        <v>기술연구</v>
      </c>
    </row>
    <row r="43" spans="2:42" ht="6" customHeight="1"/>
    <row r="44" spans="2:42" s="21" customFormat="1" ht="17.25" hidden="1" customHeight="1" thickBot="1">
      <c r="B44" s="238" t="s">
        <v>1</v>
      </c>
      <c r="C44" s="239"/>
      <c r="D44" s="239"/>
      <c r="E44" s="240"/>
      <c r="F44" s="20" t="s">
        <v>2</v>
      </c>
      <c r="H44" s="241" t="s">
        <v>3</v>
      </c>
      <c r="I44" s="242"/>
      <c r="J44" s="242"/>
      <c r="K44" s="243"/>
      <c r="L44" s="22" t="s">
        <v>4</v>
      </c>
      <c r="N44" s="244" t="s">
        <v>5</v>
      </c>
      <c r="O44" s="245"/>
      <c r="P44" s="245"/>
      <c r="Q44" s="246"/>
      <c r="R44" s="23" t="s">
        <v>6</v>
      </c>
      <c r="T44" s="247" t="s">
        <v>7</v>
      </c>
      <c r="U44" s="248"/>
      <c r="V44" s="248"/>
      <c r="W44" s="249"/>
      <c r="X44" s="24" t="s">
        <v>8</v>
      </c>
      <c r="Z44" s="250" t="s">
        <v>9</v>
      </c>
      <c r="AA44" s="251"/>
      <c r="AB44" s="251"/>
      <c r="AC44" s="252"/>
      <c r="AD44" s="25" t="s">
        <v>10</v>
      </c>
      <c r="AF44" s="253" t="s">
        <v>11</v>
      </c>
      <c r="AG44" s="254"/>
      <c r="AH44" s="254"/>
      <c r="AI44" s="255"/>
      <c r="AJ44" s="26" t="s">
        <v>12</v>
      </c>
      <c r="AL44" s="256" t="s">
        <v>13</v>
      </c>
      <c r="AM44" s="257"/>
      <c r="AN44" s="257"/>
      <c r="AO44" s="258"/>
      <c r="AP44" s="27" t="s">
        <v>14</v>
      </c>
    </row>
    <row r="45" spans="2:42" ht="17.25" hidden="1" customHeight="1">
      <c r="B45" s="211">
        <v>3</v>
      </c>
      <c r="C45" s="213" t="s">
        <v>15</v>
      </c>
      <c r="D45" s="214"/>
      <c r="E45" s="217" t="s">
        <v>0</v>
      </c>
      <c r="F45" s="235">
        <v>17</v>
      </c>
      <c r="H45" s="211">
        <f>B45+1</f>
        <v>4</v>
      </c>
      <c r="I45" s="213" t="s">
        <v>15</v>
      </c>
      <c r="J45" s="214"/>
      <c r="K45" s="217" t="s">
        <v>0</v>
      </c>
      <c r="L45" s="231">
        <f>F45+1</f>
        <v>18</v>
      </c>
      <c r="N45" s="211">
        <f>H45+1</f>
        <v>5</v>
      </c>
      <c r="O45" s="213" t="s">
        <v>15</v>
      </c>
      <c r="P45" s="214"/>
      <c r="Q45" s="217" t="s">
        <v>0</v>
      </c>
      <c r="R45" s="233">
        <f>L45+1</f>
        <v>19</v>
      </c>
      <c r="T45" s="211">
        <f>N45+1</f>
        <v>6</v>
      </c>
      <c r="U45" s="213" t="s">
        <v>15</v>
      </c>
      <c r="V45" s="214"/>
      <c r="W45" s="217" t="s">
        <v>0</v>
      </c>
      <c r="X45" s="259">
        <f>R45+1</f>
        <v>20</v>
      </c>
      <c r="Z45" s="211">
        <f>T45+1</f>
        <v>7</v>
      </c>
      <c r="AA45" s="213" t="s">
        <v>15</v>
      </c>
      <c r="AB45" s="214"/>
      <c r="AC45" s="217" t="s">
        <v>0</v>
      </c>
      <c r="AD45" s="221">
        <f>X45+1</f>
        <v>21</v>
      </c>
      <c r="AF45" s="223">
        <v>1</v>
      </c>
      <c r="AG45" s="213" t="s">
        <v>15</v>
      </c>
      <c r="AH45" s="214"/>
      <c r="AI45" s="217" t="s">
        <v>0</v>
      </c>
      <c r="AJ45" s="225">
        <f>AD45+1</f>
        <v>22</v>
      </c>
      <c r="AL45" s="211">
        <f>AF45+1</f>
        <v>2</v>
      </c>
      <c r="AM45" s="213" t="s">
        <v>15</v>
      </c>
      <c r="AN45" s="214"/>
      <c r="AO45" s="217" t="s">
        <v>0</v>
      </c>
      <c r="AP45" s="219">
        <f>AJ45+1</f>
        <v>23</v>
      </c>
    </row>
    <row r="46" spans="2:42" ht="17.25" hidden="1" customHeight="1" thickBot="1">
      <c r="B46" s="212"/>
      <c r="C46" s="215"/>
      <c r="D46" s="216"/>
      <c r="E46" s="218"/>
      <c r="F46" s="236"/>
      <c r="H46" s="212"/>
      <c r="I46" s="215"/>
      <c r="J46" s="216"/>
      <c r="K46" s="218"/>
      <c r="L46" s="232"/>
      <c r="N46" s="212"/>
      <c r="O46" s="215"/>
      <c r="P46" s="216"/>
      <c r="Q46" s="218"/>
      <c r="R46" s="234"/>
      <c r="T46" s="212"/>
      <c r="U46" s="215"/>
      <c r="V46" s="216"/>
      <c r="W46" s="218"/>
      <c r="X46" s="260"/>
      <c r="Z46" s="212"/>
      <c r="AA46" s="215"/>
      <c r="AB46" s="216"/>
      <c r="AC46" s="218"/>
      <c r="AD46" s="222"/>
      <c r="AF46" s="224"/>
      <c r="AG46" s="215"/>
      <c r="AH46" s="216"/>
      <c r="AI46" s="218"/>
      <c r="AJ46" s="226"/>
      <c r="AL46" s="212"/>
      <c r="AM46" s="215"/>
      <c r="AN46" s="216"/>
      <c r="AO46" s="218"/>
      <c r="AP46" s="220"/>
    </row>
    <row r="47" spans="2:42" ht="17.25" hidden="1" customHeight="1" thickBot="1">
      <c r="B47" s="208" t="s">
        <v>16</v>
      </c>
      <c r="C47" s="209"/>
      <c r="D47" s="209"/>
      <c r="E47" s="210"/>
      <c r="F47" s="28" t="s">
        <v>17</v>
      </c>
      <c r="H47" s="208" t="s">
        <v>16</v>
      </c>
      <c r="I47" s="209"/>
      <c r="J47" s="209"/>
      <c r="K47" s="210"/>
      <c r="L47" s="29" t="s">
        <v>17</v>
      </c>
      <c r="N47" s="208" t="s">
        <v>16</v>
      </c>
      <c r="O47" s="209"/>
      <c r="P47" s="209"/>
      <c r="Q47" s="210"/>
      <c r="R47" s="30" t="s">
        <v>17</v>
      </c>
      <c r="T47" s="208" t="s">
        <v>16</v>
      </c>
      <c r="U47" s="209"/>
      <c r="V47" s="209"/>
      <c r="W47" s="210"/>
      <c r="X47" s="31" t="s">
        <v>17</v>
      </c>
      <c r="Z47" s="208" t="s">
        <v>16</v>
      </c>
      <c r="AA47" s="209"/>
      <c r="AB47" s="209"/>
      <c r="AC47" s="210"/>
      <c r="AD47" s="32" t="s">
        <v>17</v>
      </c>
      <c r="AF47" s="208" t="s">
        <v>16</v>
      </c>
      <c r="AG47" s="209"/>
      <c r="AH47" s="209"/>
      <c r="AI47" s="210"/>
      <c r="AJ47" s="33" t="s">
        <v>17</v>
      </c>
      <c r="AL47" s="208" t="s">
        <v>16</v>
      </c>
      <c r="AM47" s="209"/>
      <c r="AN47" s="209"/>
      <c r="AO47" s="210"/>
      <c r="AP47" s="34" t="s">
        <v>17</v>
      </c>
    </row>
    <row r="48" spans="2:42" ht="17.25" hidden="1" customHeight="1">
      <c r="B48" s="35" t="s">
        <v>18</v>
      </c>
      <c r="C48" s="36">
        <v>1.4583333333333299</v>
      </c>
      <c r="D48" s="37" t="s">
        <v>19</v>
      </c>
      <c r="E48" s="38">
        <v>1.6243055555555554</v>
      </c>
      <c r="F48" s="39" t="s">
        <v>22</v>
      </c>
      <c r="H48" s="35" t="s">
        <v>18</v>
      </c>
      <c r="I48" s="36">
        <v>1.4583333333333299</v>
      </c>
      <c r="J48" s="37" t="s">
        <v>19</v>
      </c>
      <c r="K48" s="38">
        <v>1.6243055555555554</v>
      </c>
      <c r="L48" s="40" t="s">
        <v>24</v>
      </c>
      <c r="N48" s="35" t="s">
        <v>18</v>
      </c>
      <c r="O48" s="36">
        <v>1.4583333333333299</v>
      </c>
      <c r="P48" s="37" t="s">
        <v>19</v>
      </c>
      <c r="Q48" s="38">
        <v>1.6243055555555554</v>
      </c>
      <c r="R48" s="41" t="s">
        <v>25</v>
      </c>
      <c r="T48" s="35" t="s">
        <v>18</v>
      </c>
      <c r="U48" s="36">
        <v>1.4583333333333299</v>
      </c>
      <c r="V48" s="37" t="s">
        <v>19</v>
      </c>
      <c r="W48" s="38">
        <v>1.6243055555555554</v>
      </c>
      <c r="X48" s="42" t="s">
        <v>20</v>
      </c>
      <c r="Z48" s="35" t="s">
        <v>18</v>
      </c>
      <c r="AA48" s="36">
        <v>1.4583333333333299</v>
      </c>
      <c r="AB48" s="37" t="s">
        <v>19</v>
      </c>
      <c r="AC48" s="38">
        <v>1.6243055555555554</v>
      </c>
      <c r="AD48" s="43" t="s">
        <v>21</v>
      </c>
      <c r="AF48" s="35" t="s">
        <v>18</v>
      </c>
      <c r="AG48" s="36">
        <v>1.4583333333333299</v>
      </c>
      <c r="AH48" s="37" t="s">
        <v>19</v>
      </c>
      <c r="AI48" s="38">
        <v>1.6243055555555554</v>
      </c>
      <c r="AJ48" s="44" t="s">
        <v>22</v>
      </c>
      <c r="AL48" s="35" t="s">
        <v>18</v>
      </c>
      <c r="AM48" s="36">
        <v>1.4583333333333299</v>
      </c>
      <c r="AN48" s="37" t="s">
        <v>19</v>
      </c>
      <c r="AO48" s="38">
        <v>1.6243055555555554</v>
      </c>
      <c r="AP48" s="45" t="s">
        <v>24</v>
      </c>
    </row>
    <row r="49" spans="2:42" ht="17.25" hidden="1" customHeight="1">
      <c r="B49" s="46" t="s">
        <v>26</v>
      </c>
      <c r="C49" s="47">
        <v>1.625</v>
      </c>
      <c r="D49" s="48" t="s">
        <v>19</v>
      </c>
      <c r="E49" s="49">
        <v>1.7909722222222224</v>
      </c>
      <c r="F49" s="50" t="s">
        <v>24</v>
      </c>
      <c r="H49" s="46" t="s">
        <v>26</v>
      </c>
      <c r="I49" s="47">
        <v>1.625</v>
      </c>
      <c r="J49" s="48" t="s">
        <v>19</v>
      </c>
      <c r="K49" s="49">
        <v>1.7909722222222224</v>
      </c>
      <c r="L49" s="51" t="s">
        <v>25</v>
      </c>
      <c r="N49" s="46" t="s">
        <v>26</v>
      </c>
      <c r="O49" s="47">
        <v>1.625</v>
      </c>
      <c r="P49" s="48" t="s">
        <v>19</v>
      </c>
      <c r="Q49" s="49">
        <v>1.7909722222222224</v>
      </c>
      <c r="R49" s="52" t="s">
        <v>20</v>
      </c>
      <c r="T49" s="46" t="s">
        <v>26</v>
      </c>
      <c r="U49" s="47">
        <v>1.625</v>
      </c>
      <c r="V49" s="48" t="s">
        <v>19</v>
      </c>
      <c r="W49" s="49">
        <v>1.7909722222222224</v>
      </c>
      <c r="X49" s="53" t="s">
        <v>21</v>
      </c>
      <c r="Z49" s="46" t="s">
        <v>26</v>
      </c>
      <c r="AA49" s="47">
        <v>1.625</v>
      </c>
      <c r="AB49" s="48" t="s">
        <v>19</v>
      </c>
      <c r="AC49" s="49">
        <v>1.7909722222222224</v>
      </c>
      <c r="AD49" s="54" t="s">
        <v>22</v>
      </c>
      <c r="AF49" s="46" t="s">
        <v>26</v>
      </c>
      <c r="AG49" s="47">
        <v>1.625</v>
      </c>
      <c r="AH49" s="48" t="s">
        <v>19</v>
      </c>
      <c r="AI49" s="49">
        <v>1.7909722222222224</v>
      </c>
      <c r="AJ49" s="55" t="s">
        <v>24</v>
      </c>
      <c r="AL49" s="46" t="s">
        <v>26</v>
      </c>
      <c r="AM49" s="47">
        <v>1.625</v>
      </c>
      <c r="AN49" s="48" t="s">
        <v>19</v>
      </c>
      <c r="AO49" s="49">
        <v>1.7909722222222224</v>
      </c>
      <c r="AP49" s="56" t="s">
        <v>25</v>
      </c>
    </row>
    <row r="50" spans="2:42" ht="17.25" hidden="1" customHeight="1">
      <c r="B50" s="46" t="s">
        <v>28</v>
      </c>
      <c r="C50" s="57">
        <v>1.7916666666666701</v>
      </c>
      <c r="D50" s="58" t="s">
        <v>19</v>
      </c>
      <c r="E50" s="59">
        <v>1.9576388888888889</v>
      </c>
      <c r="F50" s="50" t="s">
        <v>25</v>
      </c>
      <c r="H50" s="46" t="s">
        <v>28</v>
      </c>
      <c r="I50" s="57">
        <v>1.7916666666666701</v>
      </c>
      <c r="J50" s="58" t="s">
        <v>19</v>
      </c>
      <c r="K50" s="59">
        <v>1.9576388888888889</v>
      </c>
      <c r="L50" s="51" t="s">
        <v>20</v>
      </c>
      <c r="N50" s="46" t="s">
        <v>28</v>
      </c>
      <c r="O50" s="57">
        <v>1.7916666666666701</v>
      </c>
      <c r="P50" s="58" t="s">
        <v>19</v>
      </c>
      <c r="Q50" s="59">
        <v>1.9576388888888889</v>
      </c>
      <c r="R50" s="52" t="s">
        <v>21</v>
      </c>
      <c r="T50" s="46" t="s">
        <v>28</v>
      </c>
      <c r="U50" s="57">
        <v>1.7916666666666701</v>
      </c>
      <c r="V50" s="58" t="s">
        <v>19</v>
      </c>
      <c r="W50" s="59">
        <v>1.9576388888888889</v>
      </c>
      <c r="X50" s="53" t="s">
        <v>22</v>
      </c>
      <c r="Z50" s="46" t="s">
        <v>28</v>
      </c>
      <c r="AA50" s="57">
        <v>1.7916666666666701</v>
      </c>
      <c r="AB50" s="58" t="s">
        <v>19</v>
      </c>
      <c r="AC50" s="59">
        <v>1.9576388888888889</v>
      </c>
      <c r="AD50" s="54" t="s">
        <v>24</v>
      </c>
      <c r="AF50" s="46" t="s">
        <v>28</v>
      </c>
      <c r="AG50" s="57">
        <v>1.7916666666666701</v>
      </c>
      <c r="AH50" s="58" t="s">
        <v>19</v>
      </c>
      <c r="AI50" s="59">
        <v>1.9576388888888889</v>
      </c>
      <c r="AJ50" s="55" t="s">
        <v>25</v>
      </c>
      <c r="AL50" s="46" t="s">
        <v>28</v>
      </c>
      <c r="AM50" s="57">
        <v>1.7916666666666701</v>
      </c>
      <c r="AN50" s="58" t="s">
        <v>19</v>
      </c>
      <c r="AO50" s="59">
        <v>1.9576388888888889</v>
      </c>
      <c r="AP50" s="56" t="s">
        <v>20</v>
      </c>
    </row>
    <row r="51" spans="2:42" ht="17.25" hidden="1" customHeight="1">
      <c r="B51" s="60" t="s">
        <v>30</v>
      </c>
      <c r="C51" s="61">
        <v>1.9583333333333335</v>
      </c>
      <c r="D51" s="62" t="s">
        <v>19</v>
      </c>
      <c r="E51" s="63">
        <v>1.1243055555555554</v>
      </c>
      <c r="F51" s="50" t="s">
        <v>20</v>
      </c>
      <c r="H51" s="60" t="s">
        <v>30</v>
      </c>
      <c r="I51" s="61">
        <v>1.9583333333333335</v>
      </c>
      <c r="J51" s="62" t="s">
        <v>19</v>
      </c>
      <c r="K51" s="63">
        <v>1.1243055555555554</v>
      </c>
      <c r="L51" s="51" t="s">
        <v>21</v>
      </c>
      <c r="N51" s="60" t="s">
        <v>30</v>
      </c>
      <c r="O51" s="61">
        <v>1.9583333333333335</v>
      </c>
      <c r="P51" s="62" t="s">
        <v>19</v>
      </c>
      <c r="Q51" s="63">
        <v>1.1243055555555554</v>
      </c>
      <c r="R51" s="52" t="s">
        <v>22</v>
      </c>
      <c r="T51" s="60" t="s">
        <v>30</v>
      </c>
      <c r="U51" s="61">
        <v>1.9583333333333335</v>
      </c>
      <c r="V51" s="62" t="s">
        <v>19</v>
      </c>
      <c r="W51" s="63">
        <v>1.1243055555555554</v>
      </c>
      <c r="X51" s="53" t="s">
        <v>24</v>
      </c>
      <c r="Z51" s="60" t="s">
        <v>30</v>
      </c>
      <c r="AA51" s="61">
        <v>1.9583333333333335</v>
      </c>
      <c r="AB51" s="62" t="s">
        <v>19</v>
      </c>
      <c r="AC51" s="63">
        <v>1.1243055555555554</v>
      </c>
      <c r="AD51" s="54" t="s">
        <v>25</v>
      </c>
      <c r="AF51" s="60" t="s">
        <v>30</v>
      </c>
      <c r="AG51" s="61">
        <v>1.9583333333333335</v>
      </c>
      <c r="AH51" s="62" t="s">
        <v>19</v>
      </c>
      <c r="AI51" s="63">
        <v>1.1243055555555554</v>
      </c>
      <c r="AJ51" s="55" t="s">
        <v>20</v>
      </c>
      <c r="AL51" s="60" t="s">
        <v>30</v>
      </c>
      <c r="AM51" s="61">
        <v>1.9583333333333335</v>
      </c>
      <c r="AN51" s="62" t="s">
        <v>19</v>
      </c>
      <c r="AO51" s="63">
        <v>1.1243055555555554</v>
      </c>
      <c r="AP51" s="56" t="s">
        <v>21</v>
      </c>
    </row>
    <row r="52" spans="2:42" ht="17.25" hidden="1" customHeight="1">
      <c r="B52" s="60" t="s">
        <v>31</v>
      </c>
      <c r="C52" s="61">
        <v>1.125</v>
      </c>
      <c r="D52" s="62" t="s">
        <v>19</v>
      </c>
      <c r="E52" s="63">
        <v>1.2909722222222222</v>
      </c>
      <c r="F52" s="50" t="s">
        <v>21</v>
      </c>
      <c r="H52" s="60" t="s">
        <v>31</v>
      </c>
      <c r="I52" s="61">
        <v>1.125</v>
      </c>
      <c r="J52" s="62" t="s">
        <v>19</v>
      </c>
      <c r="K52" s="63">
        <v>1.2909722222222222</v>
      </c>
      <c r="L52" s="51" t="s">
        <v>22</v>
      </c>
      <c r="N52" s="60" t="s">
        <v>31</v>
      </c>
      <c r="O52" s="61">
        <v>1.125</v>
      </c>
      <c r="P52" s="62" t="s">
        <v>19</v>
      </c>
      <c r="Q52" s="63">
        <v>1.2909722222222222</v>
      </c>
      <c r="R52" s="52" t="s">
        <v>24</v>
      </c>
      <c r="T52" s="60" t="s">
        <v>31</v>
      </c>
      <c r="U52" s="61">
        <v>1.125</v>
      </c>
      <c r="V52" s="62" t="s">
        <v>19</v>
      </c>
      <c r="W52" s="63">
        <v>1.2909722222222222</v>
      </c>
      <c r="X52" s="53" t="s">
        <v>25</v>
      </c>
      <c r="Z52" s="60" t="s">
        <v>31</v>
      </c>
      <c r="AA52" s="61">
        <v>1.125</v>
      </c>
      <c r="AB52" s="62" t="s">
        <v>19</v>
      </c>
      <c r="AC52" s="63">
        <v>1.2909722222222222</v>
      </c>
      <c r="AD52" s="54" t="s">
        <v>20</v>
      </c>
      <c r="AF52" s="60" t="s">
        <v>31</v>
      </c>
      <c r="AG52" s="61">
        <v>1.125</v>
      </c>
      <c r="AH52" s="62" t="s">
        <v>19</v>
      </c>
      <c r="AI52" s="63">
        <v>1.2909722222222222</v>
      </c>
      <c r="AJ52" s="55" t="s">
        <v>21</v>
      </c>
      <c r="AL52" s="60" t="s">
        <v>31</v>
      </c>
      <c r="AM52" s="61">
        <v>1.125</v>
      </c>
      <c r="AN52" s="62" t="s">
        <v>19</v>
      </c>
      <c r="AO52" s="63">
        <v>1.2909722222222222</v>
      </c>
      <c r="AP52" s="56" t="s">
        <v>22</v>
      </c>
    </row>
    <row r="53" spans="2:42" s="80" customFormat="1" ht="17.25" hidden="1" customHeight="1" thickBot="1">
      <c r="B53" s="75" t="s">
        <v>33</v>
      </c>
      <c r="C53" s="76">
        <v>1.2916666666666667</v>
      </c>
      <c r="D53" s="77" t="s">
        <v>19</v>
      </c>
      <c r="E53" s="78">
        <v>1.4576388888888889</v>
      </c>
      <c r="F53" s="79" t="str">
        <f>F48</f>
        <v>AP소모</v>
      </c>
      <c r="H53" s="75" t="s">
        <v>33</v>
      </c>
      <c r="I53" s="76">
        <v>1.2916666666666667</v>
      </c>
      <c r="J53" s="77" t="s">
        <v>19</v>
      </c>
      <c r="K53" s="78">
        <v>1.4576388888888889</v>
      </c>
      <c r="L53" s="81" t="str">
        <f>L48</f>
        <v>펠몬강화</v>
      </c>
      <c r="N53" s="75" t="s">
        <v>33</v>
      </c>
      <c r="O53" s="76">
        <v>1.2916666666666667</v>
      </c>
      <c r="P53" s="77" t="s">
        <v>19</v>
      </c>
      <c r="Q53" s="78">
        <v>1.4576388888888889</v>
      </c>
      <c r="R53" s="82" t="str">
        <f>R48</f>
        <v>건물레벨업</v>
      </c>
      <c r="T53" s="75" t="s">
        <v>33</v>
      </c>
      <c r="U53" s="76">
        <v>1.2916666666666667</v>
      </c>
      <c r="V53" s="77" t="s">
        <v>19</v>
      </c>
      <c r="W53" s="78">
        <v>1.4576388888888889</v>
      </c>
      <c r="X53" s="83" t="str">
        <f>X48</f>
        <v>이미고훈련</v>
      </c>
      <c r="Z53" s="75" t="s">
        <v>33</v>
      </c>
      <c r="AA53" s="76">
        <v>1.2916666666666667</v>
      </c>
      <c r="AB53" s="77" t="s">
        <v>19</v>
      </c>
      <c r="AC53" s="78">
        <v>1.4576388888888889</v>
      </c>
      <c r="AD53" s="84" t="str">
        <f>AD48</f>
        <v>기술연구</v>
      </c>
      <c r="AF53" s="75" t="s">
        <v>33</v>
      </c>
      <c r="AG53" s="76">
        <v>1.2916666666666667</v>
      </c>
      <c r="AH53" s="77" t="s">
        <v>19</v>
      </c>
      <c r="AI53" s="78">
        <v>1.4576388888888889</v>
      </c>
      <c r="AJ53" s="85" t="str">
        <f>AJ48</f>
        <v>AP소모</v>
      </c>
      <c r="AL53" s="75" t="s">
        <v>33</v>
      </c>
      <c r="AM53" s="76">
        <v>1.2916666666666667</v>
      </c>
      <c r="AN53" s="77" t="s">
        <v>19</v>
      </c>
      <c r="AO53" s="78">
        <v>1.4576388888888889</v>
      </c>
      <c r="AP53" s="86" t="str">
        <f>AP48</f>
        <v>펠몬강화</v>
      </c>
    </row>
    <row r="54" spans="2:42" ht="6" hidden="1" customHeight="1" thickBot="1"/>
    <row r="55" spans="2:42" s="21" customFormat="1" ht="17.25" hidden="1" customHeight="1" thickBot="1">
      <c r="B55" s="238" t="s">
        <v>34</v>
      </c>
      <c r="C55" s="239"/>
      <c r="D55" s="239"/>
      <c r="E55" s="240"/>
      <c r="F55" s="20" t="s">
        <v>35</v>
      </c>
      <c r="H55" s="241" t="s">
        <v>36</v>
      </c>
      <c r="I55" s="242"/>
      <c r="J55" s="242"/>
      <c r="K55" s="243"/>
      <c r="L55" s="22" t="s">
        <v>37</v>
      </c>
      <c r="N55" s="244" t="s">
        <v>38</v>
      </c>
      <c r="O55" s="245"/>
      <c r="P55" s="245"/>
      <c r="Q55" s="246"/>
      <c r="R55" s="23" t="s">
        <v>39</v>
      </c>
      <c r="T55" s="247" t="s">
        <v>40</v>
      </c>
      <c r="U55" s="248"/>
      <c r="V55" s="248"/>
      <c r="W55" s="249"/>
      <c r="X55" s="24" t="s">
        <v>41</v>
      </c>
      <c r="Z55" s="250" t="s">
        <v>42</v>
      </c>
      <c r="AA55" s="251"/>
      <c r="AB55" s="251"/>
      <c r="AC55" s="252"/>
      <c r="AD55" s="25" t="s">
        <v>43</v>
      </c>
      <c r="AF55" s="253" t="s">
        <v>44</v>
      </c>
      <c r="AG55" s="254"/>
      <c r="AH55" s="254"/>
      <c r="AI55" s="255"/>
      <c r="AJ55" s="26" t="s">
        <v>45</v>
      </c>
      <c r="AL55" s="256" t="s">
        <v>46</v>
      </c>
      <c r="AM55" s="257"/>
      <c r="AN55" s="257"/>
      <c r="AO55" s="258"/>
      <c r="AP55" s="27" t="s">
        <v>47</v>
      </c>
    </row>
    <row r="56" spans="2:42" ht="17.25" hidden="1" customHeight="1">
      <c r="B56" s="211">
        <v>3</v>
      </c>
      <c r="C56" s="213" t="s">
        <v>48</v>
      </c>
      <c r="D56" s="214"/>
      <c r="E56" s="217" t="s">
        <v>49</v>
      </c>
      <c r="F56" s="235">
        <v>24</v>
      </c>
      <c r="H56" s="211">
        <f>B56+1</f>
        <v>4</v>
      </c>
      <c r="I56" s="213" t="s">
        <v>50</v>
      </c>
      <c r="J56" s="214"/>
      <c r="K56" s="217" t="s">
        <v>51</v>
      </c>
      <c r="L56" s="231">
        <f>F56+1</f>
        <v>25</v>
      </c>
      <c r="N56" s="211">
        <f>H56+1</f>
        <v>5</v>
      </c>
      <c r="O56" s="213" t="s">
        <v>15</v>
      </c>
      <c r="P56" s="214"/>
      <c r="Q56" s="217" t="s">
        <v>0</v>
      </c>
      <c r="R56" s="233">
        <f>L56+1</f>
        <v>26</v>
      </c>
      <c r="T56" s="211">
        <f>N56+1</f>
        <v>6</v>
      </c>
      <c r="U56" s="213" t="s">
        <v>15</v>
      </c>
      <c r="V56" s="214"/>
      <c r="W56" s="217" t="s">
        <v>0</v>
      </c>
      <c r="X56" s="259">
        <f>R56+1</f>
        <v>27</v>
      </c>
      <c r="Z56" s="211">
        <f>T56+1</f>
        <v>7</v>
      </c>
      <c r="AA56" s="213" t="s">
        <v>15</v>
      </c>
      <c r="AB56" s="214"/>
      <c r="AC56" s="217" t="s">
        <v>0</v>
      </c>
      <c r="AD56" s="221">
        <f>X56+1</f>
        <v>28</v>
      </c>
      <c r="AF56" s="223">
        <v>1</v>
      </c>
      <c r="AG56" s="213" t="s">
        <v>15</v>
      </c>
      <c r="AH56" s="214"/>
      <c r="AI56" s="217" t="s">
        <v>0</v>
      </c>
      <c r="AJ56" s="225">
        <f>AD56+1</f>
        <v>29</v>
      </c>
      <c r="AL56" s="211">
        <f>AF56+1</f>
        <v>2</v>
      </c>
      <c r="AM56" s="213" t="s">
        <v>15</v>
      </c>
      <c r="AN56" s="214"/>
      <c r="AO56" s="217" t="s">
        <v>0</v>
      </c>
      <c r="AP56" s="219">
        <f>AJ56+1</f>
        <v>30</v>
      </c>
    </row>
    <row r="57" spans="2:42" ht="17.25" hidden="1" customHeight="1" thickBot="1">
      <c r="B57" s="212"/>
      <c r="C57" s="215"/>
      <c r="D57" s="216"/>
      <c r="E57" s="218"/>
      <c r="F57" s="236"/>
      <c r="H57" s="212"/>
      <c r="I57" s="215"/>
      <c r="J57" s="216"/>
      <c r="K57" s="218"/>
      <c r="L57" s="232"/>
      <c r="N57" s="212"/>
      <c r="O57" s="215"/>
      <c r="P57" s="216"/>
      <c r="Q57" s="218"/>
      <c r="R57" s="234"/>
      <c r="T57" s="212"/>
      <c r="U57" s="215"/>
      <c r="V57" s="216"/>
      <c r="W57" s="218"/>
      <c r="X57" s="260"/>
      <c r="Z57" s="212"/>
      <c r="AA57" s="215"/>
      <c r="AB57" s="216"/>
      <c r="AC57" s="218"/>
      <c r="AD57" s="222"/>
      <c r="AF57" s="224"/>
      <c r="AG57" s="215"/>
      <c r="AH57" s="216"/>
      <c r="AI57" s="218"/>
      <c r="AJ57" s="226"/>
      <c r="AL57" s="212"/>
      <c r="AM57" s="215"/>
      <c r="AN57" s="216"/>
      <c r="AO57" s="218"/>
      <c r="AP57" s="220"/>
    </row>
    <row r="58" spans="2:42" ht="17.25" hidden="1" customHeight="1" thickBot="1">
      <c r="B58" s="208" t="s">
        <v>16</v>
      </c>
      <c r="C58" s="209"/>
      <c r="D58" s="209"/>
      <c r="E58" s="210"/>
      <c r="F58" s="28" t="s">
        <v>17</v>
      </c>
      <c r="H58" s="208" t="s">
        <v>16</v>
      </c>
      <c r="I58" s="209"/>
      <c r="J58" s="209"/>
      <c r="K58" s="210"/>
      <c r="L58" s="29" t="s">
        <v>17</v>
      </c>
      <c r="N58" s="208" t="s">
        <v>16</v>
      </c>
      <c r="O58" s="209"/>
      <c r="P58" s="209"/>
      <c r="Q58" s="210"/>
      <c r="R58" s="30" t="s">
        <v>17</v>
      </c>
      <c r="T58" s="208" t="s">
        <v>16</v>
      </c>
      <c r="U58" s="209"/>
      <c r="V58" s="209"/>
      <c r="W58" s="210"/>
      <c r="X58" s="31" t="s">
        <v>17</v>
      </c>
      <c r="Z58" s="208" t="s">
        <v>16</v>
      </c>
      <c r="AA58" s="209"/>
      <c r="AB58" s="209"/>
      <c r="AC58" s="210"/>
      <c r="AD58" s="32" t="s">
        <v>17</v>
      </c>
      <c r="AF58" s="208" t="s">
        <v>16</v>
      </c>
      <c r="AG58" s="209"/>
      <c r="AH58" s="209"/>
      <c r="AI58" s="210"/>
      <c r="AJ58" s="33" t="s">
        <v>17</v>
      </c>
      <c r="AL58" s="208" t="s">
        <v>16</v>
      </c>
      <c r="AM58" s="209"/>
      <c r="AN58" s="209"/>
      <c r="AO58" s="210"/>
      <c r="AP58" s="34" t="s">
        <v>17</v>
      </c>
    </row>
    <row r="59" spans="2:42" ht="17.25" hidden="1" customHeight="1">
      <c r="B59" s="35" t="s">
        <v>18</v>
      </c>
      <c r="C59" s="36">
        <v>1.4583333333333299</v>
      </c>
      <c r="D59" s="37" t="s">
        <v>19</v>
      </c>
      <c r="E59" s="38">
        <v>1.6243055555555554</v>
      </c>
      <c r="F59" s="39" t="s">
        <v>25</v>
      </c>
      <c r="H59" s="35" t="s">
        <v>18</v>
      </c>
      <c r="I59" s="36">
        <v>1.4583333333333299</v>
      </c>
      <c r="J59" s="37" t="s">
        <v>19</v>
      </c>
      <c r="K59" s="38">
        <v>1.6243055555555554</v>
      </c>
      <c r="L59" s="40" t="s">
        <v>20</v>
      </c>
      <c r="N59" s="35" t="s">
        <v>18</v>
      </c>
      <c r="O59" s="36">
        <v>1.4583333333333299</v>
      </c>
      <c r="P59" s="37" t="s">
        <v>19</v>
      </c>
      <c r="Q59" s="38">
        <v>1.6243055555555554</v>
      </c>
      <c r="R59" s="41" t="s">
        <v>21</v>
      </c>
      <c r="T59" s="35" t="s">
        <v>18</v>
      </c>
      <c r="U59" s="36">
        <v>1.4583333333333299</v>
      </c>
      <c r="V59" s="37" t="s">
        <v>19</v>
      </c>
      <c r="W59" s="38">
        <v>1.6243055555555554</v>
      </c>
      <c r="X59" s="42" t="str">
        <f>R60</f>
        <v>AP소모</v>
      </c>
      <c r="Z59" s="35" t="s">
        <v>18</v>
      </c>
      <c r="AA59" s="36">
        <v>1.4583333333333299</v>
      </c>
      <c r="AB59" s="37" t="s">
        <v>19</v>
      </c>
      <c r="AC59" s="38">
        <v>1.6243055555555554</v>
      </c>
      <c r="AD59" s="43" t="str">
        <f>X60</f>
        <v>펠몬강화</v>
      </c>
      <c r="AF59" s="35" t="s">
        <v>18</v>
      </c>
      <c r="AG59" s="36">
        <v>1.4583333333333299</v>
      </c>
      <c r="AH59" s="37" t="s">
        <v>19</v>
      </c>
      <c r="AI59" s="38">
        <v>1.6243055555555554</v>
      </c>
      <c r="AJ59" s="44" t="str">
        <f>AD60</f>
        <v>건물레벨업</v>
      </c>
      <c r="AL59" s="35" t="s">
        <v>18</v>
      </c>
      <c r="AM59" s="36">
        <v>1.4583333333333299</v>
      </c>
      <c r="AN59" s="37" t="s">
        <v>19</v>
      </c>
      <c r="AO59" s="38">
        <v>1.6243055555555554</v>
      </c>
      <c r="AP59" s="45" t="str">
        <f>AJ60</f>
        <v>이미고훈련</v>
      </c>
    </row>
    <row r="60" spans="2:42" ht="17.25" hidden="1" customHeight="1">
      <c r="B60" s="46" t="s">
        <v>26</v>
      </c>
      <c r="C60" s="47">
        <v>1.625</v>
      </c>
      <c r="D60" s="48" t="s">
        <v>19</v>
      </c>
      <c r="E60" s="49">
        <v>1.7909722222222224</v>
      </c>
      <c r="F60" s="50" t="s">
        <v>20</v>
      </c>
      <c r="H60" s="46" t="s">
        <v>26</v>
      </c>
      <c r="I60" s="47">
        <v>1.625</v>
      </c>
      <c r="J60" s="48" t="s">
        <v>19</v>
      </c>
      <c r="K60" s="49">
        <v>1.7909722222222224</v>
      </c>
      <c r="L60" s="51" t="s">
        <v>21</v>
      </c>
      <c r="N60" s="46" t="s">
        <v>26</v>
      </c>
      <c r="O60" s="47">
        <v>1.625</v>
      </c>
      <c r="P60" s="48" t="s">
        <v>19</v>
      </c>
      <c r="Q60" s="49">
        <v>1.7909722222222224</v>
      </c>
      <c r="R60" s="52" t="s">
        <v>22</v>
      </c>
      <c r="T60" s="46" t="s">
        <v>26</v>
      </c>
      <c r="U60" s="47">
        <v>1.625</v>
      </c>
      <c r="V60" s="48" t="s">
        <v>19</v>
      </c>
      <c r="W60" s="49">
        <v>1.7909722222222224</v>
      </c>
      <c r="X60" s="53" t="str">
        <f t="shared" ref="X60:X63" si="0">R61</f>
        <v>펠몬강화</v>
      </c>
      <c r="Z60" s="46" t="s">
        <v>26</v>
      </c>
      <c r="AA60" s="47">
        <v>1.625</v>
      </c>
      <c r="AB60" s="48" t="s">
        <v>19</v>
      </c>
      <c r="AC60" s="49">
        <v>1.7909722222222224</v>
      </c>
      <c r="AD60" s="54" t="str">
        <f t="shared" ref="AD60:AD63" si="1">X61</f>
        <v>건물레벨업</v>
      </c>
      <c r="AF60" s="46" t="s">
        <v>26</v>
      </c>
      <c r="AG60" s="47">
        <v>1.625</v>
      </c>
      <c r="AH60" s="48" t="s">
        <v>19</v>
      </c>
      <c r="AI60" s="49">
        <v>1.7909722222222224</v>
      </c>
      <c r="AJ60" s="55" t="str">
        <f t="shared" ref="AJ60:AJ63" si="2">AD61</f>
        <v>이미고훈련</v>
      </c>
      <c r="AL60" s="46" t="s">
        <v>26</v>
      </c>
      <c r="AM60" s="47">
        <v>1.625</v>
      </c>
      <c r="AN60" s="48" t="s">
        <v>19</v>
      </c>
      <c r="AO60" s="49">
        <v>1.7909722222222224</v>
      </c>
      <c r="AP60" s="56" t="str">
        <f t="shared" ref="AP60:AP63" si="3">AJ61</f>
        <v>기술연구</v>
      </c>
    </row>
    <row r="61" spans="2:42" ht="17.25" hidden="1" customHeight="1">
      <c r="B61" s="46" t="s">
        <v>28</v>
      </c>
      <c r="C61" s="57">
        <v>1.7916666666666701</v>
      </c>
      <c r="D61" s="58" t="s">
        <v>19</v>
      </c>
      <c r="E61" s="59">
        <v>1.9576388888888889</v>
      </c>
      <c r="F61" s="50" t="s">
        <v>21</v>
      </c>
      <c r="H61" s="46" t="s">
        <v>28</v>
      </c>
      <c r="I61" s="57">
        <v>1.7916666666666701</v>
      </c>
      <c r="J61" s="58" t="s">
        <v>19</v>
      </c>
      <c r="K61" s="59">
        <v>1.9576388888888889</v>
      </c>
      <c r="L61" s="51" t="s">
        <v>22</v>
      </c>
      <c r="N61" s="46" t="s">
        <v>28</v>
      </c>
      <c r="O61" s="57">
        <v>1.7916666666666701</v>
      </c>
      <c r="P61" s="58" t="s">
        <v>19</v>
      </c>
      <c r="Q61" s="59">
        <v>1.9576388888888889</v>
      </c>
      <c r="R61" s="52" t="s">
        <v>24</v>
      </c>
      <c r="T61" s="46" t="s">
        <v>28</v>
      </c>
      <c r="U61" s="57">
        <v>1.7916666666666701</v>
      </c>
      <c r="V61" s="58" t="s">
        <v>19</v>
      </c>
      <c r="W61" s="59">
        <v>1.9576388888888889</v>
      </c>
      <c r="X61" s="53" t="str">
        <f t="shared" si="0"/>
        <v>건물레벨업</v>
      </c>
      <c r="Z61" s="46" t="s">
        <v>28</v>
      </c>
      <c r="AA61" s="57">
        <v>1.7916666666666701</v>
      </c>
      <c r="AB61" s="58" t="s">
        <v>19</v>
      </c>
      <c r="AC61" s="59">
        <v>1.9576388888888889</v>
      </c>
      <c r="AD61" s="54" t="str">
        <f t="shared" si="1"/>
        <v>이미고훈련</v>
      </c>
      <c r="AF61" s="46" t="s">
        <v>28</v>
      </c>
      <c r="AG61" s="57">
        <v>1.7916666666666701</v>
      </c>
      <c r="AH61" s="58" t="s">
        <v>19</v>
      </c>
      <c r="AI61" s="59">
        <v>1.9576388888888889</v>
      </c>
      <c r="AJ61" s="55" t="str">
        <f t="shared" si="2"/>
        <v>기술연구</v>
      </c>
      <c r="AL61" s="46" t="s">
        <v>28</v>
      </c>
      <c r="AM61" s="57">
        <v>1.7916666666666701</v>
      </c>
      <c r="AN61" s="58" t="s">
        <v>19</v>
      </c>
      <c r="AO61" s="59">
        <v>1.9576388888888889</v>
      </c>
      <c r="AP61" s="56" t="str">
        <f t="shared" si="3"/>
        <v>AP소모</v>
      </c>
    </row>
    <row r="62" spans="2:42" ht="17.25" hidden="1" customHeight="1">
      <c r="B62" s="60" t="s">
        <v>30</v>
      </c>
      <c r="C62" s="61">
        <v>1.9583333333333335</v>
      </c>
      <c r="D62" s="62" t="s">
        <v>19</v>
      </c>
      <c r="E62" s="63">
        <v>1.1243055555555554</v>
      </c>
      <c r="F62" s="50" t="s">
        <v>22</v>
      </c>
      <c r="H62" s="60" t="s">
        <v>30</v>
      </c>
      <c r="I62" s="61">
        <v>1.9583333333333335</v>
      </c>
      <c r="J62" s="62" t="s">
        <v>19</v>
      </c>
      <c r="K62" s="63">
        <v>1.1243055555555554</v>
      </c>
      <c r="L62" s="51" t="s">
        <v>24</v>
      </c>
      <c r="N62" s="60" t="s">
        <v>30</v>
      </c>
      <c r="O62" s="61">
        <v>1.9583333333333335</v>
      </c>
      <c r="P62" s="62" t="s">
        <v>19</v>
      </c>
      <c r="Q62" s="63">
        <v>1.1243055555555554</v>
      </c>
      <c r="R62" s="52" t="s">
        <v>25</v>
      </c>
      <c r="T62" s="60" t="s">
        <v>30</v>
      </c>
      <c r="U62" s="61">
        <v>1.9583333333333335</v>
      </c>
      <c r="V62" s="62" t="s">
        <v>19</v>
      </c>
      <c r="W62" s="63">
        <v>1.1243055555555554</v>
      </c>
      <c r="X62" s="53" t="str">
        <f t="shared" si="0"/>
        <v>이미고훈련</v>
      </c>
      <c r="Z62" s="60" t="s">
        <v>30</v>
      </c>
      <c r="AA62" s="61">
        <v>1.9583333333333335</v>
      </c>
      <c r="AB62" s="62" t="s">
        <v>19</v>
      </c>
      <c r="AC62" s="63">
        <v>1.1243055555555554</v>
      </c>
      <c r="AD62" s="54" t="str">
        <f t="shared" si="1"/>
        <v>기술연구</v>
      </c>
      <c r="AF62" s="60" t="s">
        <v>30</v>
      </c>
      <c r="AG62" s="61">
        <v>1.9583333333333335</v>
      </c>
      <c r="AH62" s="62" t="s">
        <v>19</v>
      </c>
      <c r="AI62" s="63">
        <v>1.1243055555555554</v>
      </c>
      <c r="AJ62" s="55" t="str">
        <f t="shared" si="2"/>
        <v>AP소모</v>
      </c>
      <c r="AL62" s="60" t="s">
        <v>30</v>
      </c>
      <c r="AM62" s="61">
        <v>1.9583333333333335</v>
      </c>
      <c r="AN62" s="62" t="s">
        <v>19</v>
      </c>
      <c r="AO62" s="63">
        <v>1.1243055555555554</v>
      </c>
      <c r="AP62" s="56" t="str">
        <f t="shared" si="3"/>
        <v>펠몬강화</v>
      </c>
    </row>
    <row r="63" spans="2:42" ht="17.25" hidden="1" customHeight="1">
      <c r="B63" s="60" t="s">
        <v>31</v>
      </c>
      <c r="C63" s="61">
        <v>1.125</v>
      </c>
      <c r="D63" s="62" t="s">
        <v>19</v>
      </c>
      <c r="E63" s="63">
        <v>1.2909722222222222</v>
      </c>
      <c r="F63" s="50" t="s">
        <v>24</v>
      </c>
      <c r="H63" s="60" t="s">
        <v>31</v>
      </c>
      <c r="I63" s="61">
        <v>1.125</v>
      </c>
      <c r="J63" s="62" t="s">
        <v>19</v>
      </c>
      <c r="K63" s="63">
        <v>1.2909722222222222</v>
      </c>
      <c r="L63" s="51" t="s">
        <v>25</v>
      </c>
      <c r="N63" s="60" t="s">
        <v>31</v>
      </c>
      <c r="O63" s="61">
        <v>1.125</v>
      </c>
      <c r="P63" s="62" t="s">
        <v>19</v>
      </c>
      <c r="Q63" s="63">
        <v>1.2909722222222222</v>
      </c>
      <c r="R63" s="52" t="s">
        <v>20</v>
      </c>
      <c r="T63" s="60" t="s">
        <v>31</v>
      </c>
      <c r="U63" s="61">
        <v>1.125</v>
      </c>
      <c r="V63" s="62" t="s">
        <v>19</v>
      </c>
      <c r="W63" s="63">
        <v>1.2909722222222222</v>
      </c>
      <c r="X63" s="53" t="str">
        <f t="shared" si="0"/>
        <v>기술연구</v>
      </c>
      <c r="Z63" s="60" t="s">
        <v>31</v>
      </c>
      <c r="AA63" s="61">
        <v>1.125</v>
      </c>
      <c r="AB63" s="62" t="s">
        <v>19</v>
      </c>
      <c r="AC63" s="63">
        <v>1.2909722222222222</v>
      </c>
      <c r="AD63" s="54" t="str">
        <f t="shared" si="1"/>
        <v>AP소모</v>
      </c>
      <c r="AF63" s="60" t="s">
        <v>31</v>
      </c>
      <c r="AG63" s="61">
        <v>1.125</v>
      </c>
      <c r="AH63" s="62" t="s">
        <v>19</v>
      </c>
      <c r="AI63" s="63">
        <v>1.2909722222222222</v>
      </c>
      <c r="AJ63" s="55" t="str">
        <f t="shared" si="2"/>
        <v>펠몬강화</v>
      </c>
      <c r="AL63" s="60" t="s">
        <v>31</v>
      </c>
      <c r="AM63" s="61">
        <v>1.125</v>
      </c>
      <c r="AN63" s="62" t="s">
        <v>19</v>
      </c>
      <c r="AO63" s="63">
        <v>1.2909722222222222</v>
      </c>
      <c r="AP63" s="56" t="str">
        <f t="shared" si="3"/>
        <v>건물레벨업</v>
      </c>
    </row>
    <row r="64" spans="2:42" s="80" customFormat="1" ht="17.25" hidden="1" customHeight="1" thickBot="1">
      <c r="B64" s="75" t="s">
        <v>33</v>
      </c>
      <c r="C64" s="76">
        <v>1.2916666666666667</v>
      </c>
      <c r="D64" s="77" t="s">
        <v>19</v>
      </c>
      <c r="E64" s="78">
        <v>1.4576388888888889</v>
      </c>
      <c r="F64" s="79" t="str">
        <f>F59</f>
        <v>건물레벨업</v>
      </c>
      <c r="H64" s="75" t="s">
        <v>33</v>
      </c>
      <c r="I64" s="76">
        <v>1.2916666666666667</v>
      </c>
      <c r="J64" s="77" t="s">
        <v>19</v>
      </c>
      <c r="K64" s="78">
        <v>1.4576388888888889</v>
      </c>
      <c r="L64" s="81" t="str">
        <f>L59</f>
        <v>이미고훈련</v>
      </c>
      <c r="N64" s="75" t="s">
        <v>33</v>
      </c>
      <c r="O64" s="76">
        <v>1.2916666666666667</v>
      </c>
      <c r="P64" s="77" t="s">
        <v>19</v>
      </c>
      <c r="Q64" s="78">
        <v>1.4576388888888889</v>
      </c>
      <c r="R64" s="82" t="str">
        <f>R59</f>
        <v>기술연구</v>
      </c>
      <c r="T64" s="75" t="s">
        <v>33</v>
      </c>
      <c r="U64" s="76">
        <v>1.2916666666666667</v>
      </c>
      <c r="V64" s="77" t="s">
        <v>19</v>
      </c>
      <c r="W64" s="78">
        <v>1.4576388888888889</v>
      </c>
      <c r="X64" s="83" t="str">
        <f>X59</f>
        <v>AP소모</v>
      </c>
      <c r="Z64" s="75" t="s">
        <v>33</v>
      </c>
      <c r="AA64" s="76">
        <v>1.2916666666666667</v>
      </c>
      <c r="AB64" s="77" t="s">
        <v>19</v>
      </c>
      <c r="AC64" s="78">
        <v>1.4576388888888889</v>
      </c>
      <c r="AD64" s="84" t="str">
        <f>AD59</f>
        <v>펠몬강화</v>
      </c>
      <c r="AF64" s="75" t="s">
        <v>33</v>
      </c>
      <c r="AG64" s="76">
        <v>1.2916666666666667</v>
      </c>
      <c r="AH64" s="77" t="s">
        <v>19</v>
      </c>
      <c r="AI64" s="78">
        <v>1.4576388888888889</v>
      </c>
      <c r="AJ64" s="85" t="str">
        <f>AJ59</f>
        <v>건물레벨업</v>
      </c>
      <c r="AL64" s="75" t="s">
        <v>33</v>
      </c>
      <c r="AM64" s="76">
        <v>1.2916666666666667</v>
      </c>
      <c r="AN64" s="77" t="s">
        <v>19</v>
      </c>
      <c r="AO64" s="78">
        <v>1.4576388888888889</v>
      </c>
      <c r="AP64" s="86" t="str">
        <f>AP59</f>
        <v>이미고훈련</v>
      </c>
    </row>
  </sheetData>
  <mergeCells count="258">
    <mergeCell ref="B10:E10"/>
    <mergeCell ref="H10:K10"/>
    <mergeCell ref="N10:Q10"/>
    <mergeCell ref="T10:W10"/>
    <mergeCell ref="Z10:AC10"/>
    <mergeCell ref="AF10:AJ10"/>
    <mergeCell ref="B1:AP1"/>
    <mergeCell ref="B9:E9"/>
    <mergeCell ref="H9:K9"/>
    <mergeCell ref="N9:Q9"/>
    <mergeCell ref="T9:W9"/>
    <mergeCell ref="Z9:AC9"/>
    <mergeCell ref="AL9:AP9"/>
    <mergeCell ref="AF9:AJ9"/>
    <mergeCell ref="AL10:AP10"/>
    <mergeCell ref="C18:E18"/>
    <mergeCell ref="C19:E19"/>
    <mergeCell ref="C29:E29"/>
    <mergeCell ref="AG29:AI29"/>
    <mergeCell ref="I28:K28"/>
    <mergeCell ref="C27:E27"/>
    <mergeCell ref="I27:K27"/>
    <mergeCell ref="C26:E26"/>
    <mergeCell ref="I26:K26"/>
    <mergeCell ref="C25:E25"/>
    <mergeCell ref="I25:K25"/>
    <mergeCell ref="O25:Q25"/>
    <mergeCell ref="U25:W25"/>
    <mergeCell ref="AA25:AC25"/>
    <mergeCell ref="AL36:AO36"/>
    <mergeCell ref="B44:E44"/>
    <mergeCell ref="H44:K44"/>
    <mergeCell ref="N44:Q44"/>
    <mergeCell ref="T44:W44"/>
    <mergeCell ref="Z44:AC44"/>
    <mergeCell ref="AF44:AI44"/>
    <mergeCell ref="AL44:AO44"/>
    <mergeCell ref="AP34:AP35"/>
    <mergeCell ref="B36:E36"/>
    <mergeCell ref="H36:K36"/>
    <mergeCell ref="N36:Q36"/>
    <mergeCell ref="T36:W36"/>
    <mergeCell ref="Z36:AC36"/>
    <mergeCell ref="AF36:AI36"/>
    <mergeCell ref="AD34:AD35"/>
    <mergeCell ref="AJ34:AJ35"/>
    <mergeCell ref="X34:X35"/>
    <mergeCell ref="L34:L35"/>
    <mergeCell ref="R34:R35"/>
    <mergeCell ref="F34:F35"/>
    <mergeCell ref="B34:E35"/>
    <mergeCell ref="T34:W35"/>
    <mergeCell ref="N34:Q35"/>
    <mergeCell ref="AP45:AP46"/>
    <mergeCell ref="B47:E47"/>
    <mergeCell ref="H47:K47"/>
    <mergeCell ref="N47:Q47"/>
    <mergeCell ref="T47:W47"/>
    <mergeCell ref="Z47:AC47"/>
    <mergeCell ref="AF47:AI47"/>
    <mergeCell ref="AC45:AC46"/>
    <mergeCell ref="AD45:AD46"/>
    <mergeCell ref="AF45:AF46"/>
    <mergeCell ref="AG45:AH46"/>
    <mergeCell ref="AI45:AI46"/>
    <mergeCell ref="AJ45:AJ46"/>
    <mergeCell ref="T45:T46"/>
    <mergeCell ref="U45:V46"/>
    <mergeCell ref="W45:W46"/>
    <mergeCell ref="X45:X46"/>
    <mergeCell ref="Z45:Z46"/>
    <mergeCell ref="AA45:AB46"/>
    <mergeCell ref="K45:K46"/>
    <mergeCell ref="L45:L46"/>
    <mergeCell ref="N45:N46"/>
    <mergeCell ref="O45:P46"/>
    <mergeCell ref="Q45:Q46"/>
    <mergeCell ref="AL47:AO47"/>
    <mergeCell ref="B55:E55"/>
    <mergeCell ref="H55:K55"/>
    <mergeCell ref="N55:Q55"/>
    <mergeCell ref="T55:W55"/>
    <mergeCell ref="Z55:AC55"/>
    <mergeCell ref="AF55:AI55"/>
    <mergeCell ref="AL55:AO55"/>
    <mergeCell ref="AL45:AL46"/>
    <mergeCell ref="AM45:AN46"/>
    <mergeCell ref="AO45:AO46"/>
    <mergeCell ref="R45:R46"/>
    <mergeCell ref="B45:B46"/>
    <mergeCell ref="C45:D46"/>
    <mergeCell ref="E45:E46"/>
    <mergeCell ref="F45:F46"/>
    <mergeCell ref="H45:H46"/>
    <mergeCell ref="I45:J46"/>
    <mergeCell ref="L56:L57"/>
    <mergeCell ref="N56:N57"/>
    <mergeCell ref="O56:P57"/>
    <mergeCell ref="Q56:Q57"/>
    <mergeCell ref="R56:R57"/>
    <mergeCell ref="B56:B57"/>
    <mergeCell ref="C56:D57"/>
    <mergeCell ref="E56:E57"/>
    <mergeCell ref="F56:F57"/>
    <mergeCell ref="H56:H57"/>
    <mergeCell ref="I56:J57"/>
    <mergeCell ref="AL58:AO58"/>
    <mergeCell ref="AL56:AL57"/>
    <mergeCell ref="AM56:AN57"/>
    <mergeCell ref="AO56:AO57"/>
    <mergeCell ref="AP56:AP57"/>
    <mergeCell ref="B58:E58"/>
    <mergeCell ref="H58:K58"/>
    <mergeCell ref="N58:Q58"/>
    <mergeCell ref="T58:W58"/>
    <mergeCell ref="Z58:AC58"/>
    <mergeCell ref="AF58:AI58"/>
    <mergeCell ref="AC56:AC57"/>
    <mergeCell ref="AD56:AD57"/>
    <mergeCell ref="AF56:AF57"/>
    <mergeCell ref="AG56:AH57"/>
    <mergeCell ref="AI56:AI57"/>
    <mergeCell ref="AJ56:AJ57"/>
    <mergeCell ref="T56:T57"/>
    <mergeCell ref="U56:V57"/>
    <mergeCell ref="W56:W57"/>
    <mergeCell ref="X56:X57"/>
    <mergeCell ref="Z56:Z57"/>
    <mergeCell ref="AA56:AB57"/>
    <mergeCell ref="K56:K57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C11:E11"/>
    <mergeCell ref="C12:E12"/>
    <mergeCell ref="C13:E13"/>
    <mergeCell ref="C14:E14"/>
    <mergeCell ref="C15:E15"/>
    <mergeCell ref="C16:E16"/>
    <mergeCell ref="C17:E17"/>
    <mergeCell ref="I29:K29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C20:E20"/>
    <mergeCell ref="I20:K20"/>
    <mergeCell ref="C21:E21"/>
    <mergeCell ref="I21:K21"/>
    <mergeCell ref="C22:E22"/>
    <mergeCell ref="I22:K22"/>
    <mergeCell ref="C28:E28"/>
    <mergeCell ref="U11:W11"/>
    <mergeCell ref="U12:W12"/>
    <mergeCell ref="U13:W13"/>
    <mergeCell ref="U14:W14"/>
    <mergeCell ref="U15:W15"/>
    <mergeCell ref="U16:W16"/>
    <mergeCell ref="U17:W17"/>
    <mergeCell ref="U18:W18"/>
    <mergeCell ref="U19:W19"/>
    <mergeCell ref="AA12:AC12"/>
    <mergeCell ref="AA13:AC13"/>
    <mergeCell ref="AA14:AC14"/>
    <mergeCell ref="AA15:AC15"/>
    <mergeCell ref="AA16:AC16"/>
    <mergeCell ref="AA17:AC17"/>
    <mergeCell ref="AA18:AC18"/>
    <mergeCell ref="AA19:AC19"/>
    <mergeCell ref="O29:Q29"/>
    <mergeCell ref="O20:Q20"/>
    <mergeCell ref="U20:W20"/>
    <mergeCell ref="AA20:AC20"/>
    <mergeCell ref="U29:W29"/>
    <mergeCell ref="O21:Q21"/>
    <mergeCell ref="U21:W21"/>
    <mergeCell ref="O22:Q22"/>
    <mergeCell ref="U22:W22"/>
    <mergeCell ref="O28:Q28"/>
    <mergeCell ref="U28:W28"/>
    <mergeCell ref="O27:Q27"/>
    <mergeCell ref="U27:W27"/>
    <mergeCell ref="O26:Q26"/>
    <mergeCell ref="U26:W26"/>
    <mergeCell ref="AA26:AC26"/>
    <mergeCell ref="AM11:AO11"/>
    <mergeCell ref="AM12:AO12"/>
    <mergeCell ref="AM13:AO13"/>
    <mergeCell ref="AM14:AO14"/>
    <mergeCell ref="AM15:AO15"/>
    <mergeCell ref="AM16:AO16"/>
    <mergeCell ref="AM17:AO17"/>
    <mergeCell ref="AA29:AC29"/>
    <mergeCell ref="AG11:AI11"/>
    <mergeCell ref="AG12:AI12"/>
    <mergeCell ref="AG13:AI13"/>
    <mergeCell ref="AG14:AI14"/>
    <mergeCell ref="AG15:AI15"/>
    <mergeCell ref="AG16:AI16"/>
    <mergeCell ref="AA11:AC11"/>
    <mergeCell ref="AL22:AO22"/>
    <mergeCell ref="AA21:AC21"/>
    <mergeCell ref="AA22:AC22"/>
    <mergeCell ref="AF22:AI22"/>
    <mergeCell ref="AF23:AI23"/>
    <mergeCell ref="AF24:AI24"/>
    <mergeCell ref="AM29:AO29"/>
    <mergeCell ref="AA28:AC28"/>
    <mergeCell ref="AA27:AC27"/>
    <mergeCell ref="AL21:AO21"/>
    <mergeCell ref="AF17:AI17"/>
    <mergeCell ref="AF18:AI18"/>
    <mergeCell ref="AF19:AI19"/>
    <mergeCell ref="AF20:AI20"/>
    <mergeCell ref="AF21:AI21"/>
    <mergeCell ref="AL34:AO35"/>
    <mergeCell ref="AF34:AI35"/>
    <mergeCell ref="Z34:AC35"/>
    <mergeCell ref="Z33:AC33"/>
    <mergeCell ref="AF33:AI33"/>
    <mergeCell ref="AL33:AO33"/>
    <mergeCell ref="AL18:AO18"/>
    <mergeCell ref="AL19:AO19"/>
    <mergeCell ref="AL20:AO20"/>
    <mergeCell ref="H34:K35"/>
    <mergeCell ref="AL23:AO23"/>
    <mergeCell ref="AL24:AO24"/>
    <mergeCell ref="AL25:AO25"/>
    <mergeCell ref="B31:AP31"/>
    <mergeCell ref="AF26:AI26"/>
    <mergeCell ref="AL26:AO26"/>
    <mergeCell ref="AF27:AJ27"/>
    <mergeCell ref="AF25:AI25"/>
    <mergeCell ref="C24:E24"/>
    <mergeCell ref="I24:K24"/>
    <mergeCell ref="O24:Q24"/>
    <mergeCell ref="U24:W24"/>
    <mergeCell ref="AA24:AC24"/>
    <mergeCell ref="C23:E23"/>
    <mergeCell ref="I23:K23"/>
    <mergeCell ref="O23:Q23"/>
    <mergeCell ref="U23:W23"/>
    <mergeCell ref="AA23:AC23"/>
    <mergeCell ref="B33:E33"/>
    <mergeCell ref="H33:K33"/>
    <mergeCell ref="N33:Q33"/>
    <mergeCell ref="T33:W33"/>
  </mergeCells>
  <phoneticPr fontId="18" type="noConversion"/>
  <printOptions horizontalCentered="1"/>
  <pageMargins left="0" right="0" top="0.39370078740157483" bottom="0.39370078740157483" header="0.31496062992125984" footer="0.31496062992125984"/>
  <pageSetup paperSize="9" scale="5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모험가대회</vt:lpstr>
      <vt:lpstr>8.11</vt:lpstr>
      <vt:lpstr>8월</vt:lpstr>
      <vt:lpstr>'8.11'!Print_Area</vt:lpstr>
      <vt:lpstr>'8월'!Print_Area</vt:lpstr>
      <vt:lpstr>모험가대회!Print_Area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2026-08-11T01:49:50Z</cp:lastPrinted>
  <dcterms:created xsi:type="dcterms:W3CDTF">2026-08-11T00:27:14Z</dcterms:created>
  <dcterms:modified xsi:type="dcterms:W3CDTF">2026-08-11T04:43:00Z</dcterms:modified>
</cp:coreProperties>
</file>